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_me" sheetId="1" state="visible" r:id="rId3"/>
    <sheet name="BOM" sheetId="2" state="visible" r:id="rId4"/>
    <sheet name="DigiKey_Upload" sheetId="3" state="visible" r:id="rId5"/>
  </sheets>
  <definedNames>
    <definedName function="false" hidden="true" localSheetId="1" name="_xlnm._FilterDatabase" vbProcedure="false">BOM!$A$7:$AA$51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<sst xmlns="http://schemas.openxmlformats.org/spreadsheetml/2006/main" count="484" uniqueCount="343">
  <si>
    <t xml:space="preserve">How to order</t>
  </si>
  <si>
    <t xml:space="preserve">1. On the BOM sheet set "Boards to build" (B4) and review the yellow Use alternate / Include / Spares cells.</t>
  </si>
  <si>
    <t xml:space="preserve">2. Open the DigiKey_Upload sheet. Delete rows whose Quantity is 0 (optional cable parts are off by default), then save it as CSV or copy the rows.</t>
  </si>
  <si>
    <t xml:space="preserve">3. On digikey.com use BOM Manager (Upload a BOM) or Cart &gt; Quick Add &gt; "Upload a list", and map: Quantity, Digi-Key Part Number, Customer Reference. digikey_upload_1_board.csv (next to this workbook) is the same list for 1 board with the default choices.</t>
  </si>
  <si>
    <t xml:space="preserve">4. Red stock figures on the BOM sheet mean the chosen part has less stock than you are ordering.</t>
  </si>
  <si>
    <t xml:space="preserve">Decisions before ordering</t>
  </si>
  <si>
    <t xml:space="preserve">U5, NFC reader: ST25R3916-AQWT is out of stock at Digi-Key (the ST25R3916B is not due until 2028). The in-stock ST25R3917-AQWT is pin-compatible but has no capacitive-sensor wake-up, no automatic antenna tuning and no card emulation. It works for this reader if the firmware uses inductive wake-up and J5/J6 stay unconnected. Set U5 "Use alternate" = Y to order it, or source the ST25R3916 elsewhere.</t>
  </si>
  <si>
    <t xml:space="preserve">Y2 + C6/C7, 32.768 kHz: no 4 pF-load 3.2x1.5 mm crystal is stocked, so Y2 is a 6 pF part and C6/C7 default to the 8.2 pF alternate. Update C6/C7 to 8.2p in the schematic so the design matches what you build.</t>
  </si>
  <si>
    <t xml:space="preserve">R6, charge current: 1 kΩ sets 1 A, above the 500 mA a USB-C sink with 5.1 kΩ CC resistors may draw. The 2 kΩ alternate gives 500 mA.</t>
  </si>
  <si>
    <t xml:space="preserve">C20/C21/C36, 10 µF: only 178 of the Samsung part are in stock; switch to the Yageo alternate if that runs out.</t>
  </si>
  <si>
    <t xml:space="preserve">Not included</t>
  </si>
  <si>
    <t xml:space="preserve">The PCB itself, the Li-ion cell (with a JST XA plug), the vibration motor, the optional PN532 breakout module, solder paste and a JST XA crimp tool. J5/J6 (solder pads) and AE3 (etched antenna) are PCB features, not parts.</t>
  </si>
  <si>
    <t xml:space="preserve">Substitutions made against the first choice (all checked on digikey.com)</t>
  </si>
  <si>
    <t xml:space="preserve">USBLC6-2SC6 is back-ordered, so the BOM uses USBLC6-2SC6Y. STM32L432KCU6 tray had 3 in stock, so the BOM uses the tape version STM32L432KCU6TR. Samsung CL21A475KAQNNNE (4.7 µF), CL21B105K (1 µF), CL21A106K (10 µF) and CL21C150J (15 pF, obsolete) and Yageo RC0805FR-075K1L (5.1 kΩ) are out of stock or obsolete, so the listed KEMET, Samsung, Yageo and Stackpole parts replace them.</t>
  </si>
  <si>
    <t xml:space="preserve">Checked 2026-09-26. Each row has a Digi-Key search link (column AA) for re-checking stock and price.</t>
  </si>
  <si>
    <t xml:space="preserve">Card Attendance System: Bill of Materials (Digi-Key)</t>
  </si>
  <si>
    <t xml:space="preserve">Source: PCB/Attendance Management System.kicad_sch. Part numbers, stock and prices read from digikey.com on 2026-09-26; stock and prices change daily, so re-check before ordering.</t>
  </si>
  <si>
    <t xml:space="preserve">Boards to build</t>
  </si>
  <si>
    <t xml:space="preserve">Edit only the yellow cells: Boards to build, Use alternate (Y/N), Include (Y/N), Spares. Order qty, the part to order and the cost are formulas.</t>
  </si>
  <si>
    <t xml:space="preserve">Item</t>
  </si>
  <si>
    <t xml:space="preserve">Designators</t>
  </si>
  <si>
    <t xml:space="preserve">Qty / board</t>
  </si>
  <si>
    <t xml:space="preserve">Value</t>
  </si>
  <si>
    <t xml:space="preserve">Description</t>
  </si>
  <si>
    <t xml:space="preserve">Package</t>
  </si>
  <si>
    <t xml:space="preserve">Manufacturer</t>
  </si>
  <si>
    <t xml:space="preserve">MPN</t>
  </si>
  <si>
    <t xml:space="preserve">Digi-Key PN</t>
  </si>
  <si>
    <t xml:space="preserve">DK stock (2026-09-26)</t>
  </si>
  <si>
    <t xml:space="preserve">Unit price (USD)</t>
  </si>
  <si>
    <t xml:space="preserve">Price at qty</t>
  </si>
  <si>
    <t xml:space="preserve">Use alternate (Y/N)</t>
  </si>
  <si>
    <t xml:space="preserve">Alt. manufacturer</t>
  </si>
  <si>
    <t xml:space="preserve">Alt. MPN</t>
  </si>
  <si>
    <t xml:space="preserve">Alt. Digi-Key PN</t>
  </si>
  <si>
    <t xml:space="preserve">Alt. DK stock</t>
  </si>
  <si>
    <t xml:space="preserve">Alt. unit price (USD)</t>
  </si>
  <si>
    <t xml:space="preserve">Include (Y/N)</t>
  </si>
  <si>
    <t xml:space="preserve">Spares</t>
  </si>
  <si>
    <t xml:space="preserve">Order qty</t>
  </si>
  <si>
    <t xml:space="preserve">Order: manufacturer</t>
  </si>
  <si>
    <t xml:space="preserve">Order: MPN</t>
  </si>
  <si>
    <t xml:space="preserve">Order: Digi-Key PN</t>
  </si>
  <si>
    <t xml:space="preserve">Est. cost (USD)</t>
  </si>
  <si>
    <t xml:space="preserve">Notes</t>
  </si>
  <si>
    <t xml:space="preserve">Digi-Key link</t>
  </si>
  <si>
    <t xml:space="preserve">C1,C3,C8,C11,C22,C23,C24,C25,C28,C29,C30,C34</t>
  </si>
  <si>
    <t xml:space="preserve">100n</t>
  </si>
  <si>
    <t xml:space="preserve">Capacitor, ceramic, 100 nF 50 V X7R ±10%</t>
  </si>
  <si>
    <t xml:space="preserve">0805</t>
  </si>
  <si>
    <t xml:space="preserve">Samsung Electro-Mechanics</t>
  </si>
  <si>
    <t xml:space="preserve">CL21B104KBCNNNC</t>
  </si>
  <si>
    <t xml:space="preserve">1276-1003-1-ND</t>
  </si>
  <si>
    <t xml:space="preserve">N</t>
  </si>
  <si>
    <t xml:space="preserve">Y</t>
  </si>
  <si>
    <t xml:space="preserve">Schematic asks X7R 16 V; 50 V part has less DC-bias loss.</t>
  </si>
  <si>
    <t xml:space="preserve">C2,C35</t>
  </si>
  <si>
    <t xml:space="preserve">4.7u</t>
  </si>
  <si>
    <t xml:space="preserve">Capacitor, ceramic, 4.7 µF 25 V X5R ±10%</t>
  </si>
  <si>
    <t xml:space="preserve">CL21A475KACLRNC</t>
  </si>
  <si>
    <t xml:space="preserve">1276-2415-1-ND</t>
  </si>
  <si>
    <t xml:space="preserve">Covers C2 (10 V) and C35 (16 V) with one 25 V part. CL21A475KAQNNNE is out of stock.</t>
  </si>
  <si>
    <t xml:space="preserve">C4</t>
  </si>
  <si>
    <t xml:space="preserve">10n</t>
  </si>
  <si>
    <t xml:space="preserve">Capacitor, ceramic, 10 nF 50 V X7R ±10%</t>
  </si>
  <si>
    <t xml:space="preserve">CL21B103KBANNNC</t>
  </si>
  <si>
    <t xml:space="preserve">1276-1015-1-ND</t>
  </si>
  <si>
    <t xml:space="preserve">C5,C33</t>
  </si>
  <si>
    <t xml:space="preserve">1u</t>
  </si>
  <si>
    <t xml:space="preserve">Capacitor, ceramic, 1 µF 25 V X7R ±10%</t>
  </si>
  <si>
    <t xml:space="preserve">KEMET</t>
  </si>
  <si>
    <t xml:space="preserve">C0805C105K3RACTU</t>
  </si>
  <si>
    <t xml:space="preserve">399-C0805C105K3RACTUCT-ND</t>
  </si>
  <si>
    <t xml:space="preserve">Samsung CL21B105K parts are out of stock.</t>
  </si>
  <si>
    <t xml:space="preserve">C6,C7</t>
  </si>
  <si>
    <t xml:space="preserve">4.3p</t>
  </si>
  <si>
    <t xml:space="preserve">Capacitor, ceramic, 4.3 pF 50 V C0G ±0.25 pF (LSE load caps)</t>
  </si>
  <si>
    <t xml:space="preserve">C0805C439C5GACTU</t>
  </si>
  <si>
    <t xml:space="preserve">399-C0805C439C5GACTUCT-ND</t>
  </si>
  <si>
    <t xml:space="preserve">C0805C829C5GACTU</t>
  </si>
  <si>
    <t xml:space="preserve">399-C0805C829C5GACTUCT-ND</t>
  </si>
  <si>
    <t xml:space="preserve">ALTERNATE ON by default: Y2 below has CL = 6 pF (no 4 pF 3.2x1.5 mm crystal is stocked), which needs 8.2 pF load caps: CL = C/2 + ~2 pF stray. With 4.3 pF the RTC runs ~70 ppm fast (~6 s/day). Change C6/C7 to 8.2p in the schematic.</t>
  </si>
  <si>
    <t xml:space="preserve">C9,C10</t>
  </si>
  <si>
    <t xml:space="preserve">15p</t>
  </si>
  <si>
    <t xml:space="preserve">Capacitor, ceramic, 15 pF 50 V C0G ±5% (27.12 MHz load caps)</t>
  </si>
  <si>
    <t xml:space="preserve">C0805C150J5GACTU</t>
  </si>
  <si>
    <t xml:space="preserve">399-C0805C150J5GACTUCT-ND</t>
  </si>
  <si>
    <t xml:space="preserve">Samsung CL21C150JBANNNC is obsolete.</t>
  </si>
  <si>
    <t xml:space="preserve">C12,C13,C38,C39</t>
  </si>
  <si>
    <t xml:space="preserve">150p</t>
  </si>
  <si>
    <t xml:space="preserve">Capacitor, ceramic, 150 pF 50 V C0G ±5%</t>
  </si>
  <si>
    <t xml:space="preserve">C0805C151J5GACTU</t>
  </si>
  <si>
    <t xml:space="preserve">399-C0805C151J5GACTUCT-ND</t>
  </si>
  <si>
    <t xml:space="preserve">EMC filter (C12/C13) and RX divider (C38/C39).</t>
  </si>
  <si>
    <t xml:space="preserve">C15,C37</t>
  </si>
  <si>
    <t xml:space="preserve">10p</t>
  </si>
  <si>
    <t xml:space="preserve">Capacitor, ceramic, 10 pF 50 V C0G ±5%</t>
  </si>
  <si>
    <t xml:space="preserve">C0805C100J5GACTU</t>
  </si>
  <si>
    <t xml:space="preserve">399-C0805C100J5GAC7800CT-ND</t>
  </si>
  <si>
    <t xml:space="preserve">RX divider series caps. Digi-Key number really ends GAC7800CT-ND.</t>
  </si>
  <si>
    <t xml:space="preserve">C16,C17</t>
  </si>
  <si>
    <t xml:space="preserve">68p</t>
  </si>
  <si>
    <t xml:space="preserve">Capacitor, ceramic, 68 pF 50 V C0G ±5% (series matching)</t>
  </si>
  <si>
    <t xml:space="preserve">C0805C680J5GACTU</t>
  </si>
  <si>
    <t xml:space="preserve">399-C0805C680J5GACTUCT-ND</t>
  </si>
  <si>
    <t xml:space="preserve">Matching values change when the antenna is tuned; spares allow a retune.</t>
  </si>
  <si>
    <t xml:space="preserve">C18,C19</t>
  </si>
  <si>
    <t xml:space="preserve">270p</t>
  </si>
  <si>
    <t xml:space="preserve">Capacitor, ceramic, 270 pF 50 V C0G ±5% (parallel matching)</t>
  </si>
  <si>
    <t xml:space="preserve">C0805C271J5GACTU</t>
  </si>
  <si>
    <t xml:space="preserve">399-C0805C271J5GACTUCT-ND</t>
  </si>
  <si>
    <t xml:space="preserve">As above.</t>
  </si>
  <si>
    <t xml:space="preserve">C20,C21,C36</t>
  </si>
  <si>
    <t xml:space="preserve">10u</t>
  </si>
  <si>
    <t xml:space="preserve">Capacitor, ceramic, 10 µF 25 V X5R ±10%</t>
  </si>
  <si>
    <t xml:space="preserve">CL21A106KAFN3NE</t>
  </si>
  <si>
    <t xml:space="preserve">1276-2890-1-ND</t>
  </si>
  <si>
    <t xml:space="preserve">YAGEO</t>
  </si>
  <si>
    <t xml:space="preserve">CC0805KKX5R6BB106</t>
  </si>
  <si>
    <t xml:space="preserve">311-1460-1-ND</t>
  </si>
  <si>
    <t xml:space="preserve">Only 178 in stock (enough for ~50 boards). Every other 10 µF 0805 checked (Samsung, Murata, TDK, KEMET) was out of stock. The alternate is 10 V, fine on the 4.2 V BAT+ rail.</t>
  </si>
  <si>
    <t xml:space="preserve">C26,C27,C31,C32</t>
  </si>
  <si>
    <t xml:space="preserve">2.2u</t>
  </si>
  <si>
    <t xml:space="preserve">Capacitor, ceramic, 2.2 µF 25 V X7R ±10%</t>
  </si>
  <si>
    <t xml:space="preserve">CL21B225KAFNNNE</t>
  </si>
  <si>
    <t xml:space="preserve">1276-2954-1-ND</t>
  </si>
  <si>
    <t xml:space="preserve">D1,D5</t>
  </si>
  <si>
    <t xml:space="preserve">RED</t>
  </si>
  <si>
    <t xml:space="preserve">LED, red 631 nm, clear lens</t>
  </si>
  <si>
    <t xml:space="preserve">Lite-On Inc.</t>
  </si>
  <si>
    <t xml:space="preserve">LTST-C170KRKT</t>
  </si>
  <si>
    <t xml:space="preserve">160-1415-1-ND</t>
  </si>
  <si>
    <t xml:space="preserve">Check the cathode mark against the footprint.</t>
  </si>
  <si>
    <t xml:space="preserve">D2,D3,D6</t>
  </si>
  <si>
    <t xml:space="preserve">GREEN</t>
  </si>
  <si>
    <t xml:space="preserve">LED, green 571 nm, clear lens</t>
  </si>
  <si>
    <t xml:space="preserve">LTST-C170KGKT</t>
  </si>
  <si>
    <t xml:space="preserve">160-1414-1-ND</t>
  </si>
  <si>
    <t xml:space="preserve">D4</t>
  </si>
  <si>
    <t xml:space="preserve">SS14</t>
  </si>
  <si>
    <t xml:space="preserve">Diode, Schottky 40 V 1 A (motor flyback)</t>
  </si>
  <si>
    <t xml:space="preserve">SMA (DO-214AC)</t>
  </si>
  <si>
    <t xml:space="preserve">Vishay General Semiconductor</t>
  </si>
  <si>
    <t xml:space="preserve">SS14-E3/61T</t>
  </si>
  <si>
    <t xml:space="preserve">SS14-E3/61TGICT-ND</t>
  </si>
  <si>
    <t xml:space="preserve">FB1,FB2</t>
  </si>
  <si>
    <t xml:space="preserve">600R@100MHz</t>
  </si>
  <si>
    <t xml:space="preserve">Ferrite bead, 600 Ω @ 100 MHz, 300 mA, 0.52 Ω DCR</t>
  </si>
  <si>
    <t xml:space="preserve">0402</t>
  </si>
  <si>
    <t xml:space="preserve">Murata Electronics</t>
  </si>
  <si>
    <t xml:space="preserve">BLM15AG601SN1D</t>
  </si>
  <si>
    <t xml:space="preserve">490-1006-1-ND</t>
  </si>
  <si>
    <t xml:space="preserve">J1</t>
  </si>
  <si>
    <t xml:space="preserve">USB-C</t>
  </si>
  <si>
    <t xml:space="preserve">Connector, USB-C receptacle, USB 2.0, 16-pin, SMT right angle</t>
  </si>
  <si>
    <t xml:space="preserve">GCT USB4110</t>
  </si>
  <si>
    <t xml:space="preserve">GCT</t>
  </si>
  <si>
    <t xml:space="preserve">USB4110-GF-A</t>
  </si>
  <si>
    <t xml:space="preserve">2073-USB4110-GF-A-1-ND</t>
  </si>
  <si>
    <t xml:space="preserve">J2</t>
  </si>
  <si>
    <t xml:space="preserve">BATTERY</t>
  </si>
  <si>
    <t xml:space="preserve">Connector header, JST XA, 2-pos 2.50 mm, vertical, shrouded, THT</t>
  </si>
  <si>
    <t xml:space="preserve">JST B02B-XASK-1</t>
  </si>
  <si>
    <t xml:space="preserve">JST Sales America Inc.</t>
  </si>
  <si>
    <t xml:space="preserve">B02B-XASK-1</t>
  </si>
  <si>
    <t xml:space="preserve">455-B02B-XASK-1-ND</t>
  </si>
  <si>
    <t xml:space="preserve">Mating cable parts are listed at the end (optional).</t>
  </si>
  <si>
    <t xml:space="preserve">J3</t>
  </si>
  <si>
    <t xml:space="preserve">SWD</t>
  </si>
  <si>
    <t xml:space="preserve">Pin header, 1x4, 2.54 mm, vertical, THT</t>
  </si>
  <si>
    <t xml:space="preserve">1x04 P2.54</t>
  </si>
  <si>
    <t xml:space="preserve">Sullins Connector Solutions</t>
  </si>
  <si>
    <t xml:space="preserve">PREC004SAAN-RC</t>
  </si>
  <si>
    <t xml:space="preserve">35-PREC004SAAN-RC-ND</t>
  </si>
  <si>
    <t xml:space="preserve">J4</t>
  </si>
  <si>
    <t xml:space="preserve">VIB_MOTOR</t>
  </si>
  <si>
    <t xml:space="preserve">Pin header, 1x2, 2.54 mm, vertical, THT</t>
  </si>
  <si>
    <t xml:space="preserve">1x02 P2.54</t>
  </si>
  <si>
    <t xml:space="preserve">PREC002SAAN-RC</t>
  </si>
  <si>
    <t xml:space="preserve">35-PREC002SAAN-RC-ND</t>
  </si>
  <si>
    <t xml:space="preserve">The vibration motor itself is not in this BOM.</t>
  </si>
  <si>
    <t xml:space="preserve">J5,J6</t>
  </si>
  <si>
    <t xml:space="preserve">CSO / CSI</t>
  </si>
  <si>
    <t xml:space="preserve">Solder pads for the capacitive wake-up electrode wires (PCB feature)</t>
  </si>
  <si>
    <t xml:space="preserve">SolderWirePad 1x2 mm</t>
  </si>
  <si>
    <t xml:space="preserve">No part to buy. Leave unconnected if U5 is the ST25R3917 alternate (pins 2/25 must be NC).</t>
  </si>
  <si>
    <t xml:space="preserve">J7</t>
  </si>
  <si>
    <t xml:space="preserve">PN532</t>
  </si>
  <si>
    <t xml:space="preserve">Socket header, 1x8, 2.54 mm, female, vertical, THT</t>
  </si>
  <si>
    <t xml:space="preserve">1x08 P2.54</t>
  </si>
  <si>
    <t xml:space="preserve">PPTC081LFBN-RC</t>
  </si>
  <si>
    <t xml:space="preserve">S7006-ND</t>
  </si>
  <si>
    <t xml:space="preserve">PN532 backup-reader module is not in this BOM.</t>
  </si>
  <si>
    <t xml:space="preserve">L3,L4</t>
  </si>
  <si>
    <t xml:space="preserve">470nH</t>
  </si>
  <si>
    <t xml:space="preserve">Inductor, wirewound ceramic, 470 nH ±5%, 250 mA, 1.76 Ω DCR</t>
  </si>
  <si>
    <t xml:space="preserve">Coilcraft</t>
  </si>
  <si>
    <t xml:space="preserve">0805CS-471XJRC</t>
  </si>
  <si>
    <t xml:space="preserve">2457-0805CS-471XJRC-ND</t>
  </si>
  <si>
    <t xml:space="preserve">EMC filter carries the full TX current; 250 mA / 1.76 Ω is the best stocked 470 nH 0805. A 1210 part (e.g. Murata LQH32C) would lose less power but needs a new footprint.</t>
  </si>
  <si>
    <t xml:space="preserve">Q1</t>
  </si>
  <si>
    <t xml:space="preserve">AO3400A</t>
  </si>
  <si>
    <t xml:space="preserve">MOSFET, N-ch 30 V 5.7 A (motor driver)</t>
  </si>
  <si>
    <t xml:space="preserve">SOT-23</t>
  </si>
  <si>
    <t xml:space="preserve">Alpha &amp; Omega Semiconductor</t>
  </si>
  <si>
    <t xml:space="preserve">785-1000-1-ND</t>
  </si>
  <si>
    <t xml:space="preserve">R1,R2</t>
  </si>
  <si>
    <t xml:space="preserve">5.1k</t>
  </si>
  <si>
    <t xml:space="preserve">Resistor, 5.1 kΩ ±1% 1/8 W thick film (USB-C CC)</t>
  </si>
  <si>
    <t xml:space="preserve">Stackpole Electronics</t>
  </si>
  <si>
    <t xml:space="preserve">RMCF0805FT5K10</t>
  </si>
  <si>
    <t xml:space="preserve">RMCF0805FT5K10CT-ND</t>
  </si>
  <si>
    <t xml:space="preserve">Yageo RC0805FR-075K1L is out of stock.</t>
  </si>
  <si>
    <t xml:space="preserve">R3,R4,R5,R9,R10</t>
  </si>
  <si>
    <t xml:space="preserve">470R</t>
  </si>
  <si>
    <t xml:space="preserve">Resistor, 470 Ω ±1% 1/8 W thick film (LED series)</t>
  </si>
  <si>
    <t xml:space="preserve">RMCF0805FT470R</t>
  </si>
  <si>
    <t xml:space="preserve">RMCF0805FT470RCT-ND</t>
  </si>
  <si>
    <t xml:space="preserve">R6</t>
  </si>
  <si>
    <t xml:space="preserve">1k</t>
  </si>
  <si>
    <t xml:space="preserve">Resistor, 1 kΩ ±1% 1/8 W (MCP73833 PROG: sets charge current)</t>
  </si>
  <si>
    <t xml:space="preserve">RMCF0805FT1K00</t>
  </si>
  <si>
    <t xml:space="preserve">RMCF0805FT1K00CT-ND</t>
  </si>
  <si>
    <t xml:space="preserve">RMCF0805FT2K00</t>
  </si>
  <si>
    <t xml:space="preserve">RMCF0805FT2K00CT-ND</t>
  </si>
  <si>
    <t xml:space="preserve">1 kΩ = 1 A charge current: more than a USB-C sink with 5.1 kΩ Rd may draw (500 mA) and hot for the MSOP-10. Set Use alternate = Y for 2 kΩ (500 mA) after changing the schematic.</t>
  </si>
  <si>
    <t xml:space="preserve">R7,R8,R11,R12,R20</t>
  </si>
  <si>
    <t xml:space="preserve">10k</t>
  </si>
  <si>
    <t xml:space="preserve">Resistor, 10 kΩ ±1% 1/8 W thick film</t>
  </si>
  <si>
    <t xml:space="preserve">RMCF0805FT10K0</t>
  </si>
  <si>
    <t xml:space="preserve">RMCF0805FT10K0CT-ND</t>
  </si>
  <si>
    <t xml:space="preserve">R15</t>
  </si>
  <si>
    <t xml:space="preserve">1.5k</t>
  </si>
  <si>
    <t xml:space="preserve">Resistor, 1.5 kΩ ±1% 1/8 W (antenna damping)</t>
  </si>
  <si>
    <t xml:space="preserve">RMCF0805FT1K50</t>
  </si>
  <si>
    <t xml:space="preserve">RMCF0805FT1K50CT-ND</t>
  </si>
  <si>
    <t xml:space="preserve">Damping value may change during antenna tuning.</t>
  </si>
  <si>
    <t xml:space="preserve">R16,R18,R19</t>
  </si>
  <si>
    <t xml:space="preserve">4.7M</t>
  </si>
  <si>
    <t xml:space="preserve">Resistor, 4.7 MΩ ±1% 1/8 W (battery and VBUS dividers)</t>
  </si>
  <si>
    <t xml:space="preserve">RMCF0805FT4M70</t>
  </si>
  <si>
    <t xml:space="preserve">RMCF0805FT4M70CT-ND</t>
  </si>
  <si>
    <t xml:space="preserve">R17</t>
  </si>
  <si>
    <t xml:space="preserve">2.7M</t>
  </si>
  <si>
    <t xml:space="preserve">Resistor, 2.7 MΩ ±1% 1/8 W (battery divider low leg)</t>
  </si>
  <si>
    <t xml:space="preserve">RMCF0805FT2M70</t>
  </si>
  <si>
    <t xml:space="preserve">RMCF0805FT2M70CT-ND</t>
  </si>
  <si>
    <t xml:space="preserve">R21,R22</t>
  </si>
  <si>
    <t xml:space="preserve">0</t>
  </si>
  <si>
    <t xml:space="preserve">Resistor, 0 Ω jumper (antenna feed)</t>
  </si>
  <si>
    <t xml:space="preserve">RMCF0805ZT0R00</t>
  </si>
  <si>
    <t xml:space="preserve">RMCF0805ZT0R00CT-ND</t>
  </si>
  <si>
    <t xml:space="preserve">SW1,SW2,SW3</t>
  </si>
  <si>
    <t xml:space="preserve">RST / BOOT0 / POWER</t>
  </si>
  <si>
    <t xml:space="preserve">Tactile switch, SPST-NO, 180 gf, 2.5 mm height, SMT</t>
  </si>
  <si>
    <t xml:space="preserve">C&amp;K PTS636</t>
  </si>
  <si>
    <t xml:space="preserve">C&amp;K</t>
  </si>
  <si>
    <t xml:space="preserve">PTS636SM25SMTR LFS</t>
  </si>
  <si>
    <t xml:space="preserve">CKN12321-1-ND</t>
  </si>
  <si>
    <t xml:space="preserve">Footprint is PTS636Sx25SMTRLFS; SM = 180 gf actuation.</t>
  </si>
  <si>
    <t xml:space="preserve">TH1</t>
  </si>
  <si>
    <t xml:space="preserve">10k NTC</t>
  </si>
  <si>
    <t xml:space="preserve">NTC thermistor, 10 kΩ ±5%, B25/85 = 3977 K, leaded bead</t>
  </si>
  <si>
    <t xml:space="preserve">THT, vertical</t>
  </si>
  <si>
    <t xml:space="preserve">Vishay BC Components</t>
  </si>
  <si>
    <t xml:space="preserve">NTCLE100E3103JB0</t>
  </si>
  <si>
    <t xml:space="preserve">BC2301-ND</t>
  </si>
  <si>
    <t xml:space="preserve">Flexible leads; bend to the 1.9 mm footprint pitch.</t>
  </si>
  <si>
    <t xml:space="preserve">U1</t>
  </si>
  <si>
    <t xml:space="preserve">STM32L432KCU6</t>
  </si>
  <si>
    <t xml:space="preserve">MCU, Arm Cortex-M4F 80 MHz, 256 kB flash, 64 kB RAM</t>
  </si>
  <si>
    <t xml:space="preserve">UFQFPN-32 5x5</t>
  </si>
  <si>
    <t xml:space="preserve">STMicroelectronics</t>
  </si>
  <si>
    <t xml:space="preserve">STM32L432KCU6TR</t>
  </si>
  <si>
    <t xml:space="preserve">497-STM32L432KCU6TRCT-ND</t>
  </si>
  <si>
    <t xml:space="preserve">Same die as STM32L432KCU6, supplied on tape (cut tape). The tray version 497-16578-ND had only 3 in stock.</t>
  </si>
  <si>
    <t xml:space="preserve">U2</t>
  </si>
  <si>
    <t xml:space="preserve">MCP73833</t>
  </si>
  <si>
    <t xml:space="preserve">Li-ion charger, 1 cell, 4.20 V, up to 1 A</t>
  </si>
  <si>
    <t xml:space="preserve">MSOP-10</t>
  </si>
  <si>
    <t xml:space="preserve">Microchip Technology</t>
  </si>
  <si>
    <t xml:space="preserve">MCP73833-AMI/UN</t>
  </si>
  <si>
    <t xml:space="preserve">MCP73833-AMI/UN-ND</t>
  </si>
  <si>
    <t xml:space="preserve">AMI = 4.20 V regulation variant.</t>
  </si>
  <si>
    <t xml:space="preserve">U3</t>
  </si>
  <si>
    <t xml:space="preserve">TPS7A0233</t>
  </si>
  <si>
    <t xml:space="preserve">LDO, 3.3 V 200 mA, 25 nA IQ</t>
  </si>
  <si>
    <t xml:space="preserve">SOT-23-5 (DBV)</t>
  </si>
  <si>
    <t xml:space="preserve">Texas Instruments</t>
  </si>
  <si>
    <t xml:space="preserve">TPS7A0233PDBVR</t>
  </si>
  <si>
    <t xml:space="preserve">296-TPS7A0233PDBVRCT-ND</t>
  </si>
  <si>
    <t xml:space="preserve">U5</t>
  </si>
  <si>
    <t xml:space="preserve">ST25R3916</t>
  </si>
  <si>
    <t xml:space="preserve">NFC reader IC, 13.56 MHz, SPI</t>
  </si>
  <si>
    <t xml:space="preserve">VFQFPN-32 5x5</t>
  </si>
  <si>
    <t xml:space="preserve">ST25R3916-AQWT</t>
  </si>
  <si>
    <t xml:space="preserve">497-18366-1-ND</t>
  </si>
  <si>
    <t xml:space="preserve">ST25R3917-AQWT</t>
  </si>
  <si>
    <t xml:space="preserve">497-ST25R3917-AQWTCT-ND</t>
  </si>
  <si>
    <t xml:space="preserve">DECISION NEEDED: ST25R3916-AQWT (and the newer ST25R3916B) are out of stock at Digi-Key. The ST25R3917 is pin-compatible (same datasheet DS12484) and in stock, but it has no capacitive-sensor wake-up, no AAT and no card emulation; pins 2, 17-19 and 25 must be left unconnected. Use it only with the inductive wake-up and J5/J6 unfitted.</t>
  </si>
  <si>
    <t xml:space="preserve">U6</t>
  </si>
  <si>
    <t xml:space="preserve">USBLC6-2SC6</t>
  </si>
  <si>
    <t xml:space="preserve">USB ESD protection, 2 lines + VBUS</t>
  </si>
  <si>
    <t xml:space="preserve">SOT-23-6</t>
  </si>
  <si>
    <t xml:space="preserve">USBLC6-2SC6Y</t>
  </si>
  <si>
    <t xml:space="preserve">497-11882-1-ND</t>
  </si>
  <si>
    <t xml:space="preserve">Automotive-grade version of USBLC6-2SC6, same pinout. USBLC6-2SC6 (497-5235-1-ND) is back-ordered.</t>
  </si>
  <si>
    <t xml:space="preserve">Y1</t>
  </si>
  <si>
    <t xml:space="preserve">27.12MHz</t>
  </si>
  <si>
    <t xml:space="preserve">Crystal, 27.12 MHz, CL 10 pF, ±10 ppm</t>
  </si>
  <si>
    <t xml:space="preserve">3.2x2.5 mm 4-SMD</t>
  </si>
  <si>
    <t xml:space="preserve">Abracon LLC</t>
  </si>
  <si>
    <t xml:space="preserve">ABM8-27.120MHZ-10-D1G-T</t>
  </si>
  <si>
    <t xml:space="preserve">535-14403-1-ND</t>
  </si>
  <si>
    <t xml:space="preserve">CL 10 pF matches C9/C10 = 15 pF (7.5 pF + ~2.5 pF stray).</t>
  </si>
  <si>
    <t xml:space="preserve">Y2</t>
  </si>
  <si>
    <t xml:space="preserve">32.768k</t>
  </si>
  <si>
    <t xml:space="preserve">Crystal, 32.768 kHz, CL 6 pF, ±20 ppm</t>
  </si>
  <si>
    <t xml:space="preserve">3.2x1.5 mm 2-SMD</t>
  </si>
  <si>
    <t xml:space="preserve">ABS07-120-32.768KHZ-T</t>
  </si>
  <si>
    <t xml:space="preserve">535-11937-1-ND</t>
  </si>
  <si>
    <t xml:space="preserve">Lowest-CL 3.2x1.5 mm crystal in stock (no 4 pF part). Needs 8.2 pF load caps (C6/C7 alternate). Check the land pattern against the EuroQuartz EQ161 footprint.</t>
  </si>
  <si>
    <t xml:space="preserve">AE3</t>
  </si>
  <si>
    <t xml:space="preserve">Antenna_Loop</t>
  </si>
  <si>
    <t xml:space="preserve">NFC loop antenna (PCB copper)</t>
  </si>
  <si>
    <t xml:space="preserve">PCB trace</t>
  </si>
  <si>
    <t xml:space="preserve">Etched on the PCB: nothing to buy.</t>
  </si>
  <si>
    <t xml:space="preserve">(cable) J2 mate</t>
  </si>
  <si>
    <t xml:space="preserve">XAP-02V-1</t>
  </si>
  <si>
    <t xml:space="preserve">Battery cable: JST XA 2-pos receptacle housing</t>
  </si>
  <si>
    <t xml:space="preserve">455-1903-ND</t>
  </si>
  <si>
    <t xml:space="preserve">Optional: only if you make the battery lead yourself. Set Include = Y.</t>
  </si>
  <si>
    <t xml:space="preserve">SXA-001T-P0.6</t>
  </si>
  <si>
    <t xml:space="preserve">Battery cable: JST XA crimp socket contact, 22-28 AWG</t>
  </si>
  <si>
    <t xml:space="preserve">455-1904TR-ND</t>
  </si>
  <si>
    <t xml:space="preserve">Optional. Sold from qty 1 on tape; needs a JST XA crimp tool.</t>
  </si>
  <si>
    <t xml:space="preserve">Estimated total (USD)</t>
  </si>
  <si>
    <t xml:space="preserve">Estimate only: unit prices are the quoted break (column L). Digi-Key reprices the whole order at the quantities you actually buy. Excludes PCB, battery, motor, PN532 module, shipping and tax.</t>
  </si>
  <si>
    <t xml:space="preserve">Parts to order (lines with qty &gt; 0)</t>
  </si>
  <si>
    <t xml:space="preserve">Quantity</t>
  </si>
  <si>
    <t xml:space="preserve">Digi-Key Part Number</t>
  </si>
  <si>
    <t xml:space="preserve">Manufacturer Part Number</t>
  </si>
  <si>
    <t xml:space="preserve">Customer Reference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</si>
</sst>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0.000"/>
    <numFmt numFmtId="167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EF3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EEF3F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23.8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5</v>
      </c>
    </row>
    <row r="8" customFormat="false" ht="35.05" hidden="false" customHeight="false" outlineLevel="0" collapsed="false">
      <c r="A8" s="2" t="s">
        <v>6</v>
      </c>
    </row>
    <row r="9" customFormat="false" ht="23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10</v>
      </c>
    </row>
    <row r="14" customFormat="false" ht="23.8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12</v>
      </c>
    </row>
    <row r="17" customFormat="false" ht="35.0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24"/>
    <col collapsed="false" customWidth="true" hidden="false" outlineLevel="0" max="9" min="9" style="0" width="27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26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27"/>
    <col collapsed="false" customWidth="true" hidden="false" outlineLevel="0" max="25" min="25" style="0" width="10"/>
    <col collapsed="false" customWidth="true" hidden="false" outlineLevel="0" max="26" min="26" style="0" width="60"/>
    <col collapsed="false" customWidth="true" hidden="false" outlineLevel="0" max="27" min="27" style="0" width="12"/>
  </cols>
  <sheetData>
    <row r="1" customFormat="false" ht="17.35" hidden="false" customHeight="false" outlineLevel="0" collapsed="false">
      <c r="A1" s="3" t="s">
        <v>15</v>
      </c>
    </row>
    <row r="2" customFormat="false" ht="15" hidden="false" customHeight="false" outlineLevel="0" collapsed="false">
      <c r="A2" s="4" t="s">
        <v>16</v>
      </c>
    </row>
    <row r="4" customFormat="false" ht="15" hidden="false" customHeight="false" outlineLevel="0" collapsed="false">
      <c r="A4" s="5" t="s">
        <v>17</v>
      </c>
      <c r="B4" s="6" t="n">
        <v>1</v>
      </c>
    </row>
    <row r="5" customFormat="false" ht="15" hidden="false" customHeight="false" outlineLevel="0" collapsed="false">
      <c r="A5" s="4" t="s">
        <v>18</v>
      </c>
    </row>
    <row r="7" customFormat="false" ht="42" hidden="false" customHeight="true" outlineLevel="0" collapsed="false">
      <c r="A7" s="7" t="s">
        <v>19</v>
      </c>
      <c r="B7" s="7" t="s">
        <v>20</v>
      </c>
      <c r="C7" s="7" t="s">
        <v>21</v>
      </c>
      <c r="D7" s="7" t="s">
        <v>22</v>
      </c>
      <c r="E7" s="7" t="s">
        <v>23</v>
      </c>
      <c r="F7" s="7" t="s">
        <v>24</v>
      </c>
      <c r="G7" s="7" t="s">
        <v>25</v>
      </c>
      <c r="H7" s="7" t="s">
        <v>26</v>
      </c>
      <c r="I7" s="7" t="s">
        <v>27</v>
      </c>
      <c r="J7" s="7" t="s">
        <v>28</v>
      </c>
      <c r="K7" s="7" t="s">
        <v>29</v>
      </c>
      <c r="L7" s="7" t="s">
        <v>30</v>
      </c>
      <c r="M7" s="7" t="s">
        <v>31</v>
      </c>
      <c r="N7" s="7" t="s">
        <v>32</v>
      </c>
      <c r="O7" s="7" t="s">
        <v>33</v>
      </c>
      <c r="P7" s="7" t="s">
        <v>34</v>
      </c>
      <c r="Q7" s="7" t="s">
        <v>35</v>
      </c>
      <c r="R7" s="7" t="s">
        <v>36</v>
      </c>
      <c r="S7" s="7" t="s">
        <v>37</v>
      </c>
      <c r="T7" s="7" t="s">
        <v>38</v>
      </c>
      <c r="U7" s="7" t="s">
        <v>39</v>
      </c>
      <c r="V7" s="7" t="s">
        <v>40</v>
      </c>
      <c r="W7" s="7" t="s">
        <v>41</v>
      </c>
      <c r="X7" s="7" t="s">
        <v>42</v>
      </c>
      <c r="Y7" s="7" t="s">
        <v>43</v>
      </c>
      <c r="Z7" s="7" t="s">
        <v>44</v>
      </c>
      <c r="AA7" s="7" t="s">
        <v>45</v>
      </c>
    </row>
    <row r="8" customFormat="false" ht="23.85" hidden="false" customHeight="false" outlineLevel="0" collapsed="false">
      <c r="A8" s="8" t="n">
        <v>1</v>
      </c>
      <c r="B8" s="8" t="s">
        <v>46</v>
      </c>
      <c r="C8" s="8" t="n">
        <v>12</v>
      </c>
      <c r="D8" s="8" t="s">
        <v>47</v>
      </c>
      <c r="E8" s="8" t="s">
        <v>48</v>
      </c>
      <c r="F8" s="8" t="s">
        <v>49</v>
      </c>
      <c r="G8" s="8" t="s">
        <v>50</v>
      </c>
      <c r="H8" s="8" t="s">
        <v>51</v>
      </c>
      <c r="I8" s="8" t="s">
        <v>52</v>
      </c>
      <c r="J8" s="9" t="n">
        <v>4581382</v>
      </c>
      <c r="K8" s="10" t="n">
        <v>0.045</v>
      </c>
      <c r="L8" s="8" t="n">
        <v>10</v>
      </c>
      <c r="M8" s="11" t="s">
        <v>53</v>
      </c>
      <c r="N8" s="8"/>
      <c r="O8" s="8"/>
      <c r="P8" s="8"/>
      <c r="Q8" s="9"/>
      <c r="R8" s="10"/>
      <c r="S8" s="11" t="s">
        <v>54</v>
      </c>
      <c r="T8" s="11" t="n">
        <v>3</v>
      </c>
      <c r="U8" s="8" t="n">
        <f aca="false">IF(S8="Y",C8*$B$4+T8,0)</f>
        <v>15</v>
      </c>
      <c r="V8" s="8" t="str">
        <f aca="false">IF(M8="Y",N8,G8)</f>
        <v>Samsung Electro-Mechanics</v>
      </c>
      <c r="W8" s="8" t="str">
        <f aca="false">IF(M8="Y",O8,H8)</f>
        <v>CL21B104KBCNNNC</v>
      </c>
      <c r="X8" s="8" t="str">
        <f aca="false">IF(M8="Y",P8,I8)</f>
        <v>1276-1003-1-ND</v>
      </c>
      <c r="Y8" s="12" t="n">
        <f aca="false">U8*IF(M8="Y",R8,K8)</f>
        <v>0.675</v>
      </c>
      <c r="Z8" s="8" t="s">
        <v>55</v>
      </c>
      <c r="AA8" s="8" t="str">
        <f aca="false">IF(W8="","",HYPERLINK("https://www.digikey.com/en/products/result?keywords="&amp;W8,"open"))</f>
        <v>open</v>
      </c>
    </row>
    <row r="9" customFormat="false" ht="23.85" hidden="false" customHeight="false" outlineLevel="0" collapsed="false">
      <c r="A9" s="13" t="n">
        <v>2</v>
      </c>
      <c r="B9" s="13" t="s">
        <v>56</v>
      </c>
      <c r="C9" s="13" t="n">
        <v>2</v>
      </c>
      <c r="D9" s="13" t="s">
        <v>57</v>
      </c>
      <c r="E9" s="13" t="s">
        <v>58</v>
      </c>
      <c r="F9" s="13" t="s">
        <v>49</v>
      </c>
      <c r="G9" s="13" t="s">
        <v>50</v>
      </c>
      <c r="H9" s="13" t="s">
        <v>59</v>
      </c>
      <c r="I9" s="13" t="s">
        <v>60</v>
      </c>
      <c r="J9" s="14" t="n">
        <v>190853</v>
      </c>
      <c r="K9" s="15" t="n">
        <v>0.137</v>
      </c>
      <c r="L9" s="13" t="n">
        <v>10</v>
      </c>
      <c r="M9" s="11" t="s">
        <v>53</v>
      </c>
      <c r="N9" s="13"/>
      <c r="O9" s="13"/>
      <c r="P9" s="13"/>
      <c r="Q9" s="14"/>
      <c r="R9" s="15"/>
      <c r="S9" s="11" t="s">
        <v>54</v>
      </c>
      <c r="T9" s="11" t="n">
        <v>2</v>
      </c>
      <c r="U9" s="13" t="n">
        <f aca="false">IF(S9="Y",C9*$B$4+T9,0)</f>
        <v>4</v>
      </c>
      <c r="V9" s="13" t="str">
        <f aca="false">IF(M9="Y",N9,G9)</f>
        <v>Samsung Electro-Mechanics</v>
      </c>
      <c r="W9" s="13" t="str">
        <f aca="false">IF(M9="Y",O9,H9)</f>
        <v>CL21A475KACLRNC</v>
      </c>
      <c r="X9" s="13" t="str">
        <f aca="false">IF(M9="Y",P9,I9)</f>
        <v>1276-2415-1-ND</v>
      </c>
      <c r="Y9" s="16" t="n">
        <f aca="false">U9*IF(M9="Y",R9,K9)</f>
        <v>0.548</v>
      </c>
      <c r="Z9" s="13" t="s">
        <v>61</v>
      </c>
      <c r="AA9" s="13" t="str">
        <f aca="false">IF(W9="","",HYPERLINK("https://www.digikey.com/en/products/result?keywords="&amp;W9,"open"))</f>
        <v>open</v>
      </c>
    </row>
    <row r="10" customFormat="false" ht="23.85" hidden="false" customHeight="false" outlineLevel="0" collapsed="false">
      <c r="A10" s="8" t="n">
        <v>3</v>
      </c>
      <c r="B10" s="8" t="s">
        <v>62</v>
      </c>
      <c r="C10" s="8" t="n">
        <v>1</v>
      </c>
      <c r="D10" s="8" t="s">
        <v>63</v>
      </c>
      <c r="E10" s="8" t="s">
        <v>64</v>
      </c>
      <c r="F10" s="8" t="s">
        <v>49</v>
      </c>
      <c r="G10" s="8" t="s">
        <v>50</v>
      </c>
      <c r="H10" s="8" t="s">
        <v>65</v>
      </c>
      <c r="I10" s="8" t="s">
        <v>66</v>
      </c>
      <c r="J10" s="9" t="n">
        <v>2107628</v>
      </c>
      <c r="K10" s="10" t="n">
        <v>0.044</v>
      </c>
      <c r="L10" s="8" t="n">
        <v>10</v>
      </c>
      <c r="M10" s="11" t="s">
        <v>53</v>
      </c>
      <c r="N10" s="8"/>
      <c r="O10" s="8"/>
      <c r="P10" s="8"/>
      <c r="Q10" s="9"/>
      <c r="R10" s="10"/>
      <c r="S10" s="11" t="s">
        <v>54</v>
      </c>
      <c r="T10" s="11" t="n">
        <v>2</v>
      </c>
      <c r="U10" s="8" t="n">
        <f aca="false">IF(S10="Y",C10*$B$4+T10,0)</f>
        <v>3</v>
      </c>
      <c r="V10" s="8" t="str">
        <f aca="false">IF(M10="Y",N10,G10)</f>
        <v>Samsung Electro-Mechanics</v>
      </c>
      <c r="W10" s="8" t="str">
        <f aca="false">IF(M10="Y",O10,H10)</f>
        <v>CL21B103KBANNNC</v>
      </c>
      <c r="X10" s="8" t="str">
        <f aca="false">IF(M10="Y",P10,I10)</f>
        <v>1276-1015-1-ND</v>
      </c>
      <c r="Y10" s="12" t="n">
        <f aca="false">U10*IF(M10="Y",R10,K10)</f>
        <v>0.132</v>
      </c>
      <c r="Z10" s="8"/>
      <c r="AA10" s="8" t="str">
        <f aca="false">IF(W10="","",HYPERLINK("https://www.digikey.com/en/products/result?keywords="&amp;W10,"open"))</f>
        <v>open</v>
      </c>
    </row>
    <row r="11" customFormat="false" ht="23.85" hidden="false" customHeight="false" outlineLevel="0" collapsed="false">
      <c r="A11" s="13" t="n">
        <v>4</v>
      </c>
      <c r="B11" s="13" t="s">
        <v>67</v>
      </c>
      <c r="C11" s="13" t="n">
        <v>2</v>
      </c>
      <c r="D11" s="13" t="s">
        <v>68</v>
      </c>
      <c r="E11" s="13" t="s">
        <v>69</v>
      </c>
      <c r="F11" s="13" t="s">
        <v>49</v>
      </c>
      <c r="G11" s="13" t="s">
        <v>70</v>
      </c>
      <c r="H11" s="13" t="s">
        <v>71</v>
      </c>
      <c r="I11" s="13" t="s">
        <v>72</v>
      </c>
      <c r="J11" s="14" t="n">
        <v>373194</v>
      </c>
      <c r="K11" s="15" t="n">
        <v>0.109</v>
      </c>
      <c r="L11" s="13" t="n">
        <v>10</v>
      </c>
      <c r="M11" s="11" t="s">
        <v>53</v>
      </c>
      <c r="N11" s="13"/>
      <c r="O11" s="13"/>
      <c r="P11" s="13"/>
      <c r="Q11" s="14"/>
      <c r="R11" s="15"/>
      <c r="S11" s="11" t="s">
        <v>54</v>
      </c>
      <c r="T11" s="11" t="n">
        <v>2</v>
      </c>
      <c r="U11" s="13" t="n">
        <f aca="false">IF(S11="Y",C11*$B$4+T11,0)</f>
        <v>4</v>
      </c>
      <c r="V11" s="13" t="str">
        <f aca="false">IF(M11="Y",N11,G11)</f>
        <v>KEMET</v>
      </c>
      <c r="W11" s="13" t="str">
        <f aca="false">IF(M11="Y",O11,H11)</f>
        <v>C0805C105K3RACTU</v>
      </c>
      <c r="X11" s="13" t="str">
        <f aca="false">IF(M11="Y",P11,I11)</f>
        <v>399-C0805C105K3RACTUCT-ND</v>
      </c>
      <c r="Y11" s="16" t="n">
        <f aca="false">U11*IF(M11="Y",R11,K11)</f>
        <v>0.436</v>
      </c>
      <c r="Z11" s="13" t="s">
        <v>73</v>
      </c>
      <c r="AA11" s="13" t="str">
        <f aca="false">IF(W11="","",HYPERLINK("https://www.digikey.com/en/products/result?keywords="&amp;W11,"open"))</f>
        <v>open</v>
      </c>
    </row>
    <row r="12" customFormat="false" ht="46.25" hidden="false" customHeight="false" outlineLevel="0" collapsed="false">
      <c r="A12" s="8" t="n">
        <v>5</v>
      </c>
      <c r="B12" s="8" t="s">
        <v>74</v>
      </c>
      <c r="C12" s="8" t="n">
        <v>2</v>
      </c>
      <c r="D12" s="8" t="s">
        <v>75</v>
      </c>
      <c r="E12" s="8" t="s">
        <v>76</v>
      </c>
      <c r="F12" s="8" t="s">
        <v>49</v>
      </c>
      <c r="G12" s="8" t="s">
        <v>70</v>
      </c>
      <c r="H12" s="8" t="s">
        <v>77</v>
      </c>
      <c r="I12" s="8" t="s">
        <v>78</v>
      </c>
      <c r="J12" s="9" t="n">
        <v>1703</v>
      </c>
      <c r="K12" s="10" t="n">
        <v>0.326</v>
      </c>
      <c r="L12" s="8" t="n">
        <v>10</v>
      </c>
      <c r="M12" s="11" t="s">
        <v>54</v>
      </c>
      <c r="N12" s="8" t="s">
        <v>70</v>
      </c>
      <c r="O12" s="8" t="s">
        <v>79</v>
      </c>
      <c r="P12" s="8" t="s">
        <v>80</v>
      </c>
      <c r="Q12" s="9" t="n">
        <v>3279</v>
      </c>
      <c r="R12" s="10" t="n">
        <v>0.372</v>
      </c>
      <c r="S12" s="11" t="s">
        <v>54</v>
      </c>
      <c r="T12" s="11" t="n">
        <v>2</v>
      </c>
      <c r="U12" s="8" t="n">
        <f aca="false">IF(S12="Y",C12*$B$4+T12,0)</f>
        <v>4</v>
      </c>
      <c r="V12" s="8" t="str">
        <f aca="false">IF(M12="Y",N12,G12)</f>
        <v>KEMET</v>
      </c>
      <c r="W12" s="8" t="str">
        <f aca="false">IF(M12="Y",O12,H12)</f>
        <v>C0805C829C5GACTU</v>
      </c>
      <c r="X12" s="8" t="str">
        <f aca="false">IF(M12="Y",P12,I12)</f>
        <v>399-C0805C829C5GACTUCT-ND</v>
      </c>
      <c r="Y12" s="12" t="n">
        <f aca="false">U12*IF(M12="Y",R12,K12)</f>
        <v>1.488</v>
      </c>
      <c r="Z12" s="8" t="s">
        <v>81</v>
      </c>
      <c r="AA12" s="8" t="str">
        <f aca="false">IF(W12="","",HYPERLINK("https://www.digikey.com/en/products/result?keywords="&amp;W12,"open"))</f>
        <v>open</v>
      </c>
    </row>
    <row r="13" customFormat="false" ht="23.85" hidden="false" customHeight="false" outlineLevel="0" collapsed="false">
      <c r="A13" s="13" t="n">
        <v>6</v>
      </c>
      <c r="B13" s="13" t="s">
        <v>82</v>
      </c>
      <c r="C13" s="13" t="n">
        <v>2</v>
      </c>
      <c r="D13" s="13" t="s">
        <v>83</v>
      </c>
      <c r="E13" s="13" t="s">
        <v>84</v>
      </c>
      <c r="F13" s="13" t="s">
        <v>49</v>
      </c>
      <c r="G13" s="13" t="s">
        <v>70</v>
      </c>
      <c r="H13" s="13" t="s">
        <v>85</v>
      </c>
      <c r="I13" s="13" t="s">
        <v>86</v>
      </c>
      <c r="J13" s="14" t="n">
        <v>28868</v>
      </c>
      <c r="K13" s="15" t="n">
        <v>0.16</v>
      </c>
      <c r="L13" s="13" t="n">
        <v>10</v>
      </c>
      <c r="M13" s="11" t="s">
        <v>53</v>
      </c>
      <c r="N13" s="13"/>
      <c r="O13" s="13"/>
      <c r="P13" s="13"/>
      <c r="Q13" s="14"/>
      <c r="R13" s="15"/>
      <c r="S13" s="11" t="s">
        <v>54</v>
      </c>
      <c r="T13" s="11" t="n">
        <v>2</v>
      </c>
      <c r="U13" s="13" t="n">
        <f aca="false">IF(S13="Y",C13*$B$4+T13,0)</f>
        <v>4</v>
      </c>
      <c r="V13" s="13" t="str">
        <f aca="false">IF(M13="Y",N13,G13)</f>
        <v>KEMET</v>
      </c>
      <c r="W13" s="13" t="str">
        <f aca="false">IF(M13="Y",O13,H13)</f>
        <v>C0805C150J5GACTU</v>
      </c>
      <c r="X13" s="13" t="str">
        <f aca="false">IF(M13="Y",P13,I13)</f>
        <v>399-C0805C150J5GACTUCT-ND</v>
      </c>
      <c r="Y13" s="16" t="n">
        <f aca="false">U13*IF(M13="Y",R13,K13)</f>
        <v>0.64</v>
      </c>
      <c r="Z13" s="13" t="s">
        <v>87</v>
      </c>
      <c r="AA13" s="13" t="str">
        <f aca="false">IF(W13="","",HYPERLINK("https://www.digikey.com/en/products/result?keywords="&amp;W13,"open"))</f>
        <v>open</v>
      </c>
    </row>
    <row r="14" customFormat="false" ht="23.85" hidden="false" customHeight="false" outlineLevel="0" collapsed="false">
      <c r="A14" s="8" t="n">
        <v>7</v>
      </c>
      <c r="B14" s="8" t="s">
        <v>88</v>
      </c>
      <c r="C14" s="8" t="n">
        <v>4</v>
      </c>
      <c r="D14" s="8" t="s">
        <v>89</v>
      </c>
      <c r="E14" s="8" t="s">
        <v>90</v>
      </c>
      <c r="F14" s="8" t="s">
        <v>49</v>
      </c>
      <c r="G14" s="8" t="s">
        <v>70</v>
      </c>
      <c r="H14" s="8" t="s">
        <v>91</v>
      </c>
      <c r="I14" s="8" t="s">
        <v>92</v>
      </c>
      <c r="J14" s="9" t="n">
        <v>62894</v>
      </c>
      <c r="K14" s="10" t="n">
        <v>0.08</v>
      </c>
      <c r="L14" s="8" t="n">
        <v>10</v>
      </c>
      <c r="M14" s="11" t="s">
        <v>53</v>
      </c>
      <c r="N14" s="8"/>
      <c r="O14" s="8"/>
      <c r="P14" s="8"/>
      <c r="Q14" s="9"/>
      <c r="R14" s="10"/>
      <c r="S14" s="11" t="s">
        <v>54</v>
      </c>
      <c r="T14" s="11" t="n">
        <v>2</v>
      </c>
      <c r="U14" s="8" t="n">
        <f aca="false">IF(S14="Y",C14*$B$4+T14,0)</f>
        <v>6</v>
      </c>
      <c r="V14" s="8" t="str">
        <f aca="false">IF(M14="Y",N14,G14)</f>
        <v>KEMET</v>
      </c>
      <c r="W14" s="8" t="str">
        <f aca="false">IF(M14="Y",O14,H14)</f>
        <v>C0805C151J5GACTU</v>
      </c>
      <c r="X14" s="8" t="str">
        <f aca="false">IF(M14="Y",P14,I14)</f>
        <v>399-C0805C151J5GACTUCT-ND</v>
      </c>
      <c r="Y14" s="12" t="n">
        <f aca="false">U14*IF(M14="Y",R14,K14)</f>
        <v>0.48</v>
      </c>
      <c r="Z14" s="8" t="s">
        <v>93</v>
      </c>
      <c r="AA14" s="8" t="str">
        <f aca="false">IF(W14="","",HYPERLINK("https://www.digikey.com/en/products/result?keywords="&amp;W14,"open"))</f>
        <v>open</v>
      </c>
    </row>
    <row r="15" customFormat="false" ht="23.85" hidden="false" customHeight="false" outlineLevel="0" collapsed="false">
      <c r="A15" s="13" t="n">
        <v>8</v>
      </c>
      <c r="B15" s="13" t="s">
        <v>94</v>
      </c>
      <c r="C15" s="13" t="n">
        <v>2</v>
      </c>
      <c r="D15" s="13" t="s">
        <v>95</v>
      </c>
      <c r="E15" s="13" t="s">
        <v>96</v>
      </c>
      <c r="F15" s="13" t="s">
        <v>49</v>
      </c>
      <c r="G15" s="13" t="s">
        <v>70</v>
      </c>
      <c r="H15" s="13" t="s">
        <v>97</v>
      </c>
      <c r="I15" s="13" t="s">
        <v>98</v>
      </c>
      <c r="J15" s="14" t="n">
        <v>215055</v>
      </c>
      <c r="K15" s="15" t="n">
        <v>0.076</v>
      </c>
      <c r="L15" s="13" t="n">
        <v>10</v>
      </c>
      <c r="M15" s="11" t="s">
        <v>53</v>
      </c>
      <c r="N15" s="13"/>
      <c r="O15" s="13"/>
      <c r="P15" s="13"/>
      <c r="Q15" s="14"/>
      <c r="R15" s="15"/>
      <c r="S15" s="11" t="s">
        <v>54</v>
      </c>
      <c r="T15" s="11" t="n">
        <v>2</v>
      </c>
      <c r="U15" s="13" t="n">
        <f aca="false">IF(S15="Y",C15*$B$4+T15,0)</f>
        <v>4</v>
      </c>
      <c r="V15" s="13" t="str">
        <f aca="false">IF(M15="Y",N15,G15)</f>
        <v>KEMET</v>
      </c>
      <c r="W15" s="13" t="str">
        <f aca="false">IF(M15="Y",O15,H15)</f>
        <v>C0805C100J5GACTU</v>
      </c>
      <c r="X15" s="13" t="str">
        <f aca="false">IF(M15="Y",P15,I15)</f>
        <v>399-C0805C100J5GAC7800CT-ND</v>
      </c>
      <c r="Y15" s="16" t="n">
        <f aca="false">U15*IF(M15="Y",R15,K15)</f>
        <v>0.304</v>
      </c>
      <c r="Z15" s="13" t="s">
        <v>99</v>
      </c>
      <c r="AA15" s="13" t="str">
        <f aca="false">IF(W15="","",HYPERLINK("https://www.digikey.com/en/products/result?keywords="&amp;W15,"open"))</f>
        <v>open</v>
      </c>
    </row>
    <row r="16" customFormat="false" ht="23.85" hidden="false" customHeight="false" outlineLevel="0" collapsed="false">
      <c r="A16" s="8" t="n">
        <v>9</v>
      </c>
      <c r="B16" s="8" t="s">
        <v>100</v>
      </c>
      <c r="C16" s="8" t="n">
        <v>2</v>
      </c>
      <c r="D16" s="8" t="s">
        <v>101</v>
      </c>
      <c r="E16" s="8" t="s">
        <v>102</v>
      </c>
      <c r="F16" s="8" t="s">
        <v>49</v>
      </c>
      <c r="G16" s="8" t="s">
        <v>70</v>
      </c>
      <c r="H16" s="8" t="s">
        <v>103</v>
      </c>
      <c r="I16" s="8" t="s">
        <v>104</v>
      </c>
      <c r="J16" s="9" t="n">
        <v>20555</v>
      </c>
      <c r="K16" s="10" t="n">
        <v>0.106</v>
      </c>
      <c r="L16" s="8" t="n">
        <v>10</v>
      </c>
      <c r="M16" s="11" t="s">
        <v>53</v>
      </c>
      <c r="N16" s="8"/>
      <c r="O16" s="8"/>
      <c r="P16" s="8"/>
      <c r="Q16" s="9"/>
      <c r="R16" s="10"/>
      <c r="S16" s="11" t="s">
        <v>54</v>
      </c>
      <c r="T16" s="11" t="n">
        <v>4</v>
      </c>
      <c r="U16" s="8" t="n">
        <f aca="false">IF(S16="Y",C16*$B$4+T16,0)</f>
        <v>6</v>
      </c>
      <c r="V16" s="8" t="str">
        <f aca="false">IF(M16="Y",N16,G16)</f>
        <v>KEMET</v>
      </c>
      <c r="W16" s="8" t="str">
        <f aca="false">IF(M16="Y",O16,H16)</f>
        <v>C0805C680J5GACTU</v>
      </c>
      <c r="X16" s="8" t="str">
        <f aca="false">IF(M16="Y",P16,I16)</f>
        <v>399-C0805C680J5GACTUCT-ND</v>
      </c>
      <c r="Y16" s="12" t="n">
        <f aca="false">U16*IF(M16="Y",R16,K16)</f>
        <v>0.636</v>
      </c>
      <c r="Z16" s="8" t="s">
        <v>105</v>
      </c>
      <c r="AA16" s="8" t="str">
        <f aca="false">IF(W16="","",HYPERLINK("https://www.digikey.com/en/products/result?keywords="&amp;W16,"open"))</f>
        <v>open</v>
      </c>
    </row>
    <row r="17" customFormat="false" ht="23.85" hidden="false" customHeight="false" outlineLevel="0" collapsed="false">
      <c r="A17" s="13" t="n">
        <v>10</v>
      </c>
      <c r="B17" s="13" t="s">
        <v>106</v>
      </c>
      <c r="C17" s="13" t="n">
        <v>2</v>
      </c>
      <c r="D17" s="13" t="s">
        <v>107</v>
      </c>
      <c r="E17" s="13" t="s">
        <v>108</v>
      </c>
      <c r="F17" s="13" t="s">
        <v>49</v>
      </c>
      <c r="G17" s="13" t="s">
        <v>70</v>
      </c>
      <c r="H17" s="13" t="s">
        <v>109</v>
      </c>
      <c r="I17" s="13" t="s">
        <v>110</v>
      </c>
      <c r="J17" s="14" t="n">
        <v>147889</v>
      </c>
      <c r="K17" s="15" t="n">
        <v>0.216</v>
      </c>
      <c r="L17" s="13" t="n">
        <v>10</v>
      </c>
      <c r="M17" s="11" t="s">
        <v>53</v>
      </c>
      <c r="N17" s="13"/>
      <c r="O17" s="13"/>
      <c r="P17" s="13"/>
      <c r="Q17" s="14"/>
      <c r="R17" s="15"/>
      <c r="S17" s="11" t="s">
        <v>54</v>
      </c>
      <c r="T17" s="11" t="n">
        <v>4</v>
      </c>
      <c r="U17" s="13" t="n">
        <f aca="false">IF(S17="Y",C17*$B$4+T17,0)</f>
        <v>6</v>
      </c>
      <c r="V17" s="13" t="str">
        <f aca="false">IF(M17="Y",N17,G17)</f>
        <v>KEMET</v>
      </c>
      <c r="W17" s="13" t="str">
        <f aca="false">IF(M17="Y",O17,H17)</f>
        <v>C0805C271J5GACTU</v>
      </c>
      <c r="X17" s="13" t="str">
        <f aca="false">IF(M17="Y",P17,I17)</f>
        <v>399-C0805C271J5GACTUCT-ND</v>
      </c>
      <c r="Y17" s="16" t="n">
        <f aca="false">U17*IF(M17="Y",R17,K17)</f>
        <v>1.296</v>
      </c>
      <c r="Z17" s="13" t="s">
        <v>111</v>
      </c>
      <c r="AA17" s="13" t="str">
        <f aca="false">IF(W17="","",HYPERLINK("https://www.digikey.com/en/products/result?keywords="&amp;W17,"open"))</f>
        <v>open</v>
      </c>
    </row>
    <row r="18" customFormat="false" ht="35.05" hidden="false" customHeight="false" outlineLevel="0" collapsed="false">
      <c r="A18" s="8" t="n">
        <v>11</v>
      </c>
      <c r="B18" s="8" t="s">
        <v>112</v>
      </c>
      <c r="C18" s="8" t="n">
        <v>3</v>
      </c>
      <c r="D18" s="8" t="s">
        <v>113</v>
      </c>
      <c r="E18" s="8" t="s">
        <v>114</v>
      </c>
      <c r="F18" s="8" t="s">
        <v>49</v>
      </c>
      <c r="G18" s="8" t="s">
        <v>50</v>
      </c>
      <c r="H18" s="8" t="s">
        <v>115</v>
      </c>
      <c r="I18" s="8" t="s">
        <v>116</v>
      </c>
      <c r="J18" s="9" t="n">
        <v>178</v>
      </c>
      <c r="K18" s="10" t="n">
        <v>0.158</v>
      </c>
      <c r="L18" s="8" t="n">
        <v>10</v>
      </c>
      <c r="M18" s="11" t="s">
        <v>53</v>
      </c>
      <c r="N18" s="8" t="s">
        <v>117</v>
      </c>
      <c r="O18" s="8" t="s">
        <v>118</v>
      </c>
      <c r="P18" s="8" t="s">
        <v>119</v>
      </c>
      <c r="Q18" s="9" t="n">
        <v>5598</v>
      </c>
      <c r="R18" s="10" t="n">
        <v>0.341</v>
      </c>
      <c r="S18" s="11" t="s">
        <v>54</v>
      </c>
      <c r="T18" s="11" t="n">
        <v>1</v>
      </c>
      <c r="U18" s="8" t="n">
        <f aca="false">IF(S18="Y",C18*$B$4+T18,0)</f>
        <v>4</v>
      </c>
      <c r="V18" s="8" t="str">
        <f aca="false">IF(M18="Y",N18,G18)</f>
        <v>Samsung Electro-Mechanics</v>
      </c>
      <c r="W18" s="8" t="str">
        <f aca="false">IF(M18="Y",O18,H18)</f>
        <v>CL21A106KAFN3NE</v>
      </c>
      <c r="X18" s="8" t="str">
        <f aca="false">IF(M18="Y",P18,I18)</f>
        <v>1276-2890-1-ND</v>
      </c>
      <c r="Y18" s="12" t="n">
        <f aca="false">U18*IF(M18="Y",R18,K18)</f>
        <v>0.632</v>
      </c>
      <c r="Z18" s="8" t="s">
        <v>120</v>
      </c>
      <c r="AA18" s="8" t="str">
        <f aca="false">IF(W18="","",HYPERLINK("https://www.digikey.com/en/products/result?keywords="&amp;W18,"open"))</f>
        <v>open</v>
      </c>
    </row>
    <row r="19" customFormat="false" ht="23.85" hidden="false" customHeight="false" outlineLevel="0" collapsed="false">
      <c r="A19" s="13" t="n">
        <v>12</v>
      </c>
      <c r="B19" s="13" t="s">
        <v>121</v>
      </c>
      <c r="C19" s="13" t="n">
        <v>4</v>
      </c>
      <c r="D19" s="13" t="s">
        <v>122</v>
      </c>
      <c r="E19" s="13" t="s">
        <v>123</v>
      </c>
      <c r="F19" s="13" t="s">
        <v>49</v>
      </c>
      <c r="G19" s="13" t="s">
        <v>50</v>
      </c>
      <c r="H19" s="13" t="s">
        <v>124</v>
      </c>
      <c r="I19" s="13" t="s">
        <v>125</v>
      </c>
      <c r="J19" s="14" t="n">
        <v>390169</v>
      </c>
      <c r="K19" s="15" t="n">
        <v>0.087</v>
      </c>
      <c r="L19" s="13" t="n">
        <v>10</v>
      </c>
      <c r="M19" s="11" t="s">
        <v>53</v>
      </c>
      <c r="N19" s="13"/>
      <c r="O19" s="13"/>
      <c r="P19" s="13"/>
      <c r="Q19" s="14"/>
      <c r="R19" s="15"/>
      <c r="S19" s="11" t="s">
        <v>54</v>
      </c>
      <c r="T19" s="11" t="n">
        <v>2</v>
      </c>
      <c r="U19" s="13" t="n">
        <f aca="false">IF(S19="Y",C19*$B$4+T19,0)</f>
        <v>6</v>
      </c>
      <c r="V19" s="13" t="str">
        <f aca="false">IF(M19="Y",N19,G19)</f>
        <v>Samsung Electro-Mechanics</v>
      </c>
      <c r="W19" s="13" t="str">
        <f aca="false">IF(M19="Y",O19,H19)</f>
        <v>CL21B225KAFNNNE</v>
      </c>
      <c r="X19" s="13" t="str">
        <f aca="false">IF(M19="Y",P19,I19)</f>
        <v>1276-2954-1-ND</v>
      </c>
      <c r="Y19" s="16" t="n">
        <f aca="false">U19*IF(M19="Y",R19,K19)</f>
        <v>0.522</v>
      </c>
      <c r="Z19" s="13"/>
      <c r="AA19" s="13" t="str">
        <f aca="false">IF(W19="","",HYPERLINK("https://www.digikey.com/en/products/result?keywords="&amp;W19,"open"))</f>
        <v>open</v>
      </c>
    </row>
    <row r="20" customFormat="false" ht="15" hidden="false" customHeight="false" outlineLevel="0" collapsed="false">
      <c r="A20" s="8" t="n">
        <v>13</v>
      </c>
      <c r="B20" s="8" t="s">
        <v>126</v>
      </c>
      <c r="C20" s="8" t="n">
        <v>2</v>
      </c>
      <c r="D20" s="8" t="s">
        <v>127</v>
      </c>
      <c r="E20" s="8" t="s">
        <v>128</v>
      </c>
      <c r="F20" s="8" t="s">
        <v>49</v>
      </c>
      <c r="G20" s="8" t="s">
        <v>129</v>
      </c>
      <c r="H20" s="8" t="s">
        <v>130</v>
      </c>
      <c r="I20" s="8" t="s">
        <v>131</v>
      </c>
      <c r="J20" s="9" t="n">
        <v>436448</v>
      </c>
      <c r="K20" s="10" t="n">
        <v>0.18</v>
      </c>
      <c r="L20" s="8" t="n">
        <v>1</v>
      </c>
      <c r="M20" s="11" t="s">
        <v>53</v>
      </c>
      <c r="N20" s="8"/>
      <c r="O20" s="8"/>
      <c r="P20" s="8"/>
      <c r="Q20" s="9"/>
      <c r="R20" s="10"/>
      <c r="S20" s="11" t="s">
        <v>54</v>
      </c>
      <c r="T20" s="11" t="n">
        <v>1</v>
      </c>
      <c r="U20" s="8" t="n">
        <f aca="false">IF(S20="Y",C20*$B$4+T20,0)</f>
        <v>3</v>
      </c>
      <c r="V20" s="8" t="str">
        <f aca="false">IF(M20="Y",N20,G20)</f>
        <v>Lite-On Inc.</v>
      </c>
      <c r="W20" s="8" t="str">
        <f aca="false">IF(M20="Y",O20,H20)</f>
        <v>LTST-C170KRKT</v>
      </c>
      <c r="X20" s="8" t="str">
        <f aca="false">IF(M20="Y",P20,I20)</f>
        <v>160-1415-1-ND</v>
      </c>
      <c r="Y20" s="12" t="n">
        <f aca="false">U20*IF(M20="Y",R20,K20)</f>
        <v>0.54</v>
      </c>
      <c r="Z20" s="8" t="s">
        <v>132</v>
      </c>
      <c r="AA20" s="8" t="str">
        <f aca="false">IF(W20="","",HYPERLINK("https://www.digikey.com/en/products/result?keywords="&amp;W20,"open"))</f>
        <v>open</v>
      </c>
    </row>
    <row r="21" customFormat="false" ht="15" hidden="false" customHeight="false" outlineLevel="0" collapsed="false">
      <c r="A21" s="13" t="n">
        <v>14</v>
      </c>
      <c r="B21" s="13" t="s">
        <v>133</v>
      </c>
      <c r="C21" s="13" t="n">
        <v>3</v>
      </c>
      <c r="D21" s="13" t="s">
        <v>134</v>
      </c>
      <c r="E21" s="13" t="s">
        <v>135</v>
      </c>
      <c r="F21" s="13" t="s">
        <v>49</v>
      </c>
      <c r="G21" s="13" t="s">
        <v>129</v>
      </c>
      <c r="H21" s="13" t="s">
        <v>136</v>
      </c>
      <c r="I21" s="13" t="s">
        <v>137</v>
      </c>
      <c r="J21" s="14" t="n">
        <v>477688</v>
      </c>
      <c r="K21" s="15" t="n">
        <v>0.19</v>
      </c>
      <c r="L21" s="13" t="n">
        <v>1</v>
      </c>
      <c r="M21" s="11" t="s">
        <v>53</v>
      </c>
      <c r="N21" s="13"/>
      <c r="O21" s="13"/>
      <c r="P21" s="13"/>
      <c r="Q21" s="14"/>
      <c r="R21" s="15"/>
      <c r="S21" s="11" t="s">
        <v>54</v>
      </c>
      <c r="T21" s="11" t="n">
        <v>1</v>
      </c>
      <c r="U21" s="13" t="n">
        <f aca="false">IF(S21="Y",C21*$B$4+T21,0)</f>
        <v>4</v>
      </c>
      <c r="V21" s="13" t="str">
        <f aca="false">IF(M21="Y",N21,G21)</f>
        <v>Lite-On Inc.</v>
      </c>
      <c r="W21" s="13" t="str">
        <f aca="false">IF(M21="Y",O21,H21)</f>
        <v>LTST-C170KGKT</v>
      </c>
      <c r="X21" s="13" t="str">
        <f aca="false">IF(M21="Y",P21,I21)</f>
        <v>160-1414-1-ND</v>
      </c>
      <c r="Y21" s="16" t="n">
        <f aca="false">U21*IF(M21="Y",R21,K21)</f>
        <v>0.76</v>
      </c>
      <c r="Z21" s="13"/>
      <c r="AA21" s="13" t="str">
        <f aca="false">IF(W21="","",HYPERLINK("https://www.digikey.com/en/products/result?keywords="&amp;W21,"open"))</f>
        <v>open</v>
      </c>
    </row>
    <row r="22" customFormat="false" ht="23.85" hidden="false" customHeight="false" outlineLevel="0" collapsed="false">
      <c r="A22" s="8" t="n">
        <v>15</v>
      </c>
      <c r="B22" s="8" t="s">
        <v>138</v>
      </c>
      <c r="C22" s="8" t="n">
        <v>1</v>
      </c>
      <c r="D22" s="8" t="s">
        <v>139</v>
      </c>
      <c r="E22" s="8" t="s">
        <v>140</v>
      </c>
      <c r="F22" s="8" t="s">
        <v>141</v>
      </c>
      <c r="G22" s="8" t="s">
        <v>142</v>
      </c>
      <c r="H22" s="8" t="s">
        <v>143</v>
      </c>
      <c r="I22" s="8" t="s">
        <v>144</v>
      </c>
      <c r="J22" s="9" t="n">
        <v>141918</v>
      </c>
      <c r="K22" s="10" t="n">
        <v>0.47</v>
      </c>
      <c r="L22" s="8" t="n">
        <v>1</v>
      </c>
      <c r="M22" s="11" t="s">
        <v>53</v>
      </c>
      <c r="N22" s="8"/>
      <c r="O22" s="8"/>
      <c r="P22" s="8"/>
      <c r="Q22" s="9"/>
      <c r="R22" s="10"/>
      <c r="S22" s="11" t="s">
        <v>54</v>
      </c>
      <c r="T22" s="11" t="n">
        <v>0</v>
      </c>
      <c r="U22" s="8" t="n">
        <f aca="false">IF(S22="Y",C22*$B$4+T22,0)</f>
        <v>1</v>
      </c>
      <c r="V22" s="8" t="str">
        <f aca="false">IF(M22="Y",N22,G22)</f>
        <v>Vishay General Semiconductor</v>
      </c>
      <c r="W22" s="8" t="str">
        <f aca="false">IF(M22="Y",O22,H22)</f>
        <v>SS14-E3/61T</v>
      </c>
      <c r="X22" s="8" t="str">
        <f aca="false">IF(M22="Y",P22,I22)</f>
        <v>SS14-E3/61TGICT-ND</v>
      </c>
      <c r="Y22" s="12" t="n">
        <f aca="false">U22*IF(M22="Y",R22,K22)</f>
        <v>0.47</v>
      </c>
      <c r="Z22" s="8"/>
      <c r="AA22" s="8" t="str">
        <f aca="false">IF(W22="","",HYPERLINK("https://www.digikey.com/en/products/result?keywords="&amp;W22,"open"))</f>
        <v>open</v>
      </c>
    </row>
    <row r="23" customFormat="false" ht="23.85" hidden="false" customHeight="false" outlineLevel="0" collapsed="false">
      <c r="A23" s="13" t="n">
        <v>16</v>
      </c>
      <c r="B23" s="13" t="s">
        <v>145</v>
      </c>
      <c r="C23" s="13" t="n">
        <v>2</v>
      </c>
      <c r="D23" s="13" t="s">
        <v>146</v>
      </c>
      <c r="E23" s="13" t="s">
        <v>147</v>
      </c>
      <c r="F23" s="13" t="s">
        <v>148</v>
      </c>
      <c r="G23" s="13" t="s">
        <v>149</v>
      </c>
      <c r="H23" s="13" t="s">
        <v>150</v>
      </c>
      <c r="I23" s="13" t="s">
        <v>151</v>
      </c>
      <c r="J23" s="14" t="n">
        <v>1148672</v>
      </c>
      <c r="K23" s="15" t="n">
        <v>0.1</v>
      </c>
      <c r="L23" s="13" t="n">
        <v>1</v>
      </c>
      <c r="M23" s="11" t="s">
        <v>53</v>
      </c>
      <c r="N23" s="13"/>
      <c r="O23" s="13"/>
      <c r="P23" s="13"/>
      <c r="Q23" s="14"/>
      <c r="R23" s="15"/>
      <c r="S23" s="11" t="s">
        <v>54</v>
      </c>
      <c r="T23" s="11" t="n">
        <v>2</v>
      </c>
      <c r="U23" s="13" t="n">
        <f aca="false">IF(S23="Y",C23*$B$4+T23,0)</f>
        <v>4</v>
      </c>
      <c r="V23" s="13" t="str">
        <f aca="false">IF(M23="Y",N23,G23)</f>
        <v>Murata Electronics</v>
      </c>
      <c r="W23" s="13" t="str">
        <f aca="false">IF(M23="Y",O23,H23)</f>
        <v>BLM15AG601SN1D</v>
      </c>
      <c r="X23" s="13" t="str">
        <f aca="false">IF(M23="Y",P23,I23)</f>
        <v>490-1006-1-ND</v>
      </c>
      <c r="Y23" s="16" t="n">
        <f aca="false">U23*IF(M23="Y",R23,K23)</f>
        <v>0.4</v>
      </c>
      <c r="Z23" s="13"/>
      <c r="AA23" s="13" t="str">
        <f aca="false">IF(W23="","",HYPERLINK("https://www.digikey.com/en/products/result?keywords="&amp;W23,"open"))</f>
        <v>open</v>
      </c>
    </row>
    <row r="24" customFormat="false" ht="23.85" hidden="false" customHeight="false" outlineLevel="0" collapsed="false">
      <c r="A24" s="8" t="n">
        <v>17</v>
      </c>
      <c r="B24" s="8" t="s">
        <v>152</v>
      </c>
      <c r="C24" s="8" t="n">
        <v>1</v>
      </c>
      <c r="D24" s="8" t="s">
        <v>153</v>
      </c>
      <c r="E24" s="8" t="s">
        <v>154</v>
      </c>
      <c r="F24" s="8" t="s">
        <v>155</v>
      </c>
      <c r="G24" s="8" t="s">
        <v>156</v>
      </c>
      <c r="H24" s="8" t="s">
        <v>157</v>
      </c>
      <c r="I24" s="8" t="s">
        <v>158</v>
      </c>
      <c r="J24" s="9" t="n">
        <v>145796</v>
      </c>
      <c r="K24" s="10" t="n">
        <v>1.27</v>
      </c>
      <c r="L24" s="8" t="n">
        <v>1</v>
      </c>
      <c r="M24" s="11" t="s">
        <v>53</v>
      </c>
      <c r="N24" s="8"/>
      <c r="O24" s="8"/>
      <c r="P24" s="8"/>
      <c r="Q24" s="9"/>
      <c r="R24" s="10"/>
      <c r="S24" s="11" t="s">
        <v>54</v>
      </c>
      <c r="T24" s="11" t="n">
        <v>0</v>
      </c>
      <c r="U24" s="8" t="n">
        <f aca="false">IF(S24="Y",C24*$B$4+T24,0)</f>
        <v>1</v>
      </c>
      <c r="V24" s="8" t="str">
        <f aca="false">IF(M24="Y",N24,G24)</f>
        <v>GCT</v>
      </c>
      <c r="W24" s="8" t="str">
        <f aca="false">IF(M24="Y",O24,H24)</f>
        <v>USB4110-GF-A</v>
      </c>
      <c r="X24" s="8" t="str">
        <f aca="false">IF(M24="Y",P24,I24)</f>
        <v>2073-USB4110-GF-A-1-ND</v>
      </c>
      <c r="Y24" s="12" t="n">
        <f aca="false">U24*IF(M24="Y",R24,K24)</f>
        <v>1.27</v>
      </c>
      <c r="Z24" s="8"/>
      <c r="AA24" s="8" t="str">
        <f aca="false">IF(W24="","",HYPERLINK("https://www.digikey.com/en/products/result?keywords="&amp;W24,"open"))</f>
        <v>open</v>
      </c>
    </row>
    <row r="25" customFormat="false" ht="23.85" hidden="false" customHeight="false" outlineLevel="0" collapsed="false">
      <c r="A25" s="13" t="n">
        <v>18</v>
      </c>
      <c r="B25" s="13" t="s">
        <v>159</v>
      </c>
      <c r="C25" s="13" t="n">
        <v>1</v>
      </c>
      <c r="D25" s="13" t="s">
        <v>160</v>
      </c>
      <c r="E25" s="13" t="s">
        <v>161</v>
      </c>
      <c r="F25" s="13" t="s">
        <v>162</v>
      </c>
      <c r="G25" s="13" t="s">
        <v>163</v>
      </c>
      <c r="H25" s="13" t="s">
        <v>164</v>
      </c>
      <c r="I25" s="13" t="s">
        <v>165</v>
      </c>
      <c r="J25" s="14" t="n">
        <v>12098</v>
      </c>
      <c r="K25" s="15" t="n">
        <v>0.16</v>
      </c>
      <c r="L25" s="13" t="n">
        <v>1</v>
      </c>
      <c r="M25" s="11" t="s">
        <v>53</v>
      </c>
      <c r="N25" s="13"/>
      <c r="O25" s="13"/>
      <c r="P25" s="13"/>
      <c r="Q25" s="14"/>
      <c r="R25" s="15"/>
      <c r="S25" s="11" t="s">
        <v>54</v>
      </c>
      <c r="T25" s="11" t="n">
        <v>0</v>
      </c>
      <c r="U25" s="13" t="n">
        <f aca="false">IF(S25="Y",C25*$B$4+T25,0)</f>
        <v>1</v>
      </c>
      <c r="V25" s="13" t="str">
        <f aca="false">IF(M25="Y",N25,G25)</f>
        <v>JST Sales America Inc.</v>
      </c>
      <c r="W25" s="13" t="str">
        <f aca="false">IF(M25="Y",O25,H25)</f>
        <v>B02B-XASK-1</v>
      </c>
      <c r="X25" s="13" t="str">
        <f aca="false">IF(M25="Y",P25,I25)</f>
        <v>455-B02B-XASK-1-ND</v>
      </c>
      <c r="Y25" s="16" t="n">
        <f aca="false">U25*IF(M25="Y",R25,K25)</f>
        <v>0.16</v>
      </c>
      <c r="Z25" s="13" t="s">
        <v>166</v>
      </c>
      <c r="AA25" s="13" t="str">
        <f aca="false">IF(W25="","",HYPERLINK("https://www.digikey.com/en/products/result?keywords="&amp;W25,"open"))</f>
        <v>open</v>
      </c>
    </row>
    <row r="26" customFormat="false" ht="23.85" hidden="false" customHeight="false" outlineLevel="0" collapsed="false">
      <c r="A26" s="8" t="n">
        <v>19</v>
      </c>
      <c r="B26" s="8" t="s">
        <v>167</v>
      </c>
      <c r="C26" s="8" t="n">
        <v>1</v>
      </c>
      <c r="D26" s="8" t="s">
        <v>168</v>
      </c>
      <c r="E26" s="8" t="s">
        <v>169</v>
      </c>
      <c r="F26" s="8" t="s">
        <v>170</v>
      </c>
      <c r="G26" s="8" t="s">
        <v>171</v>
      </c>
      <c r="H26" s="8" t="s">
        <v>172</v>
      </c>
      <c r="I26" s="8" t="s">
        <v>173</v>
      </c>
      <c r="J26" s="9" t="n">
        <v>42330</v>
      </c>
      <c r="K26" s="10" t="n">
        <v>0.1</v>
      </c>
      <c r="L26" s="8" t="n">
        <v>1</v>
      </c>
      <c r="M26" s="11" t="s">
        <v>53</v>
      </c>
      <c r="N26" s="8"/>
      <c r="O26" s="8"/>
      <c r="P26" s="8"/>
      <c r="Q26" s="9"/>
      <c r="R26" s="10"/>
      <c r="S26" s="11" t="s">
        <v>54</v>
      </c>
      <c r="T26" s="11" t="n">
        <v>0</v>
      </c>
      <c r="U26" s="8" t="n">
        <f aca="false">IF(S26="Y",C26*$B$4+T26,0)</f>
        <v>1</v>
      </c>
      <c r="V26" s="8" t="str">
        <f aca="false">IF(M26="Y",N26,G26)</f>
        <v>Sullins Connector Solutions</v>
      </c>
      <c r="W26" s="8" t="str">
        <f aca="false">IF(M26="Y",O26,H26)</f>
        <v>PREC004SAAN-RC</v>
      </c>
      <c r="X26" s="8" t="str">
        <f aca="false">IF(M26="Y",P26,I26)</f>
        <v>35-PREC004SAAN-RC-ND</v>
      </c>
      <c r="Y26" s="12" t="n">
        <f aca="false">U26*IF(M26="Y",R26,K26)</f>
        <v>0.1</v>
      </c>
      <c r="Z26" s="8"/>
      <c r="AA26" s="8" t="str">
        <f aca="false">IF(W26="","",HYPERLINK("https://www.digikey.com/en/products/result?keywords="&amp;W26,"open"))</f>
        <v>open</v>
      </c>
    </row>
    <row r="27" customFormat="false" ht="23.85" hidden="false" customHeight="false" outlineLevel="0" collapsed="false">
      <c r="A27" s="13" t="n">
        <v>20</v>
      </c>
      <c r="B27" s="13" t="s">
        <v>174</v>
      </c>
      <c r="C27" s="13" t="n">
        <v>1</v>
      </c>
      <c r="D27" s="13" t="s">
        <v>175</v>
      </c>
      <c r="E27" s="13" t="s">
        <v>176</v>
      </c>
      <c r="F27" s="13" t="s">
        <v>177</v>
      </c>
      <c r="G27" s="13" t="s">
        <v>171</v>
      </c>
      <c r="H27" s="13" t="s">
        <v>178</v>
      </c>
      <c r="I27" s="13" t="s">
        <v>179</v>
      </c>
      <c r="J27" s="14" t="n">
        <v>55276</v>
      </c>
      <c r="K27" s="15" t="n">
        <v>0.1</v>
      </c>
      <c r="L27" s="13" t="n">
        <v>1</v>
      </c>
      <c r="M27" s="11" t="s">
        <v>53</v>
      </c>
      <c r="N27" s="13"/>
      <c r="O27" s="13"/>
      <c r="P27" s="13"/>
      <c r="Q27" s="14"/>
      <c r="R27" s="15"/>
      <c r="S27" s="11" t="s">
        <v>54</v>
      </c>
      <c r="T27" s="11" t="n">
        <v>0</v>
      </c>
      <c r="U27" s="13" t="n">
        <f aca="false">IF(S27="Y",C27*$B$4+T27,0)</f>
        <v>1</v>
      </c>
      <c r="V27" s="13" t="str">
        <f aca="false">IF(M27="Y",N27,G27)</f>
        <v>Sullins Connector Solutions</v>
      </c>
      <c r="W27" s="13" t="str">
        <f aca="false">IF(M27="Y",O27,H27)</f>
        <v>PREC002SAAN-RC</v>
      </c>
      <c r="X27" s="13" t="str">
        <f aca="false">IF(M27="Y",P27,I27)</f>
        <v>35-PREC002SAAN-RC-ND</v>
      </c>
      <c r="Y27" s="16" t="n">
        <f aca="false">U27*IF(M27="Y",R27,K27)</f>
        <v>0.1</v>
      </c>
      <c r="Z27" s="13" t="s">
        <v>180</v>
      </c>
      <c r="AA27" s="13" t="str">
        <f aca="false">IF(W27="","",HYPERLINK("https://www.digikey.com/en/products/result?keywords="&amp;W27,"open"))</f>
        <v>open</v>
      </c>
    </row>
    <row r="28" customFormat="false" ht="23.85" hidden="false" customHeight="false" outlineLevel="0" collapsed="false">
      <c r="A28" s="8" t="n">
        <v>21</v>
      </c>
      <c r="B28" s="8" t="s">
        <v>181</v>
      </c>
      <c r="C28" s="8" t="n">
        <v>2</v>
      </c>
      <c r="D28" s="8" t="s">
        <v>182</v>
      </c>
      <c r="E28" s="8" t="s">
        <v>183</v>
      </c>
      <c r="F28" s="8" t="s">
        <v>184</v>
      </c>
      <c r="G28" s="8"/>
      <c r="H28" s="8"/>
      <c r="I28" s="8"/>
      <c r="J28" s="9"/>
      <c r="K28" s="10"/>
      <c r="L28" s="8"/>
      <c r="M28" s="11" t="s">
        <v>53</v>
      </c>
      <c r="N28" s="8"/>
      <c r="O28" s="8"/>
      <c r="P28" s="8"/>
      <c r="Q28" s="9"/>
      <c r="R28" s="10"/>
      <c r="S28" s="11" t="s">
        <v>53</v>
      </c>
      <c r="T28" s="11" t="n">
        <v>0</v>
      </c>
      <c r="U28" s="8" t="n">
        <f aca="false">IF(S28="Y",C28*$B$4+T28,0)</f>
        <v>0</v>
      </c>
      <c r="V28" s="8" t="n">
        <f aca="false">IF(M28="Y",N28,G28)</f>
        <v>0</v>
      </c>
      <c r="W28" s="8" t="n">
        <f aca="false">IF(M28="Y",O28,H28)</f>
        <v>0</v>
      </c>
      <c r="X28" s="8" t="n">
        <f aca="false">IF(M28="Y",P28,I28)</f>
        <v>0</v>
      </c>
      <c r="Y28" s="12" t="n">
        <f aca="false">U28*IF(M28="Y",R28,K28)</f>
        <v>0</v>
      </c>
      <c r="Z28" s="8" t="s">
        <v>185</v>
      </c>
      <c r="AA28" s="8" t="str">
        <f aca="false">IF(W28="","",HYPERLINK("https://www.digikey.com/en/products/result?keywords="&amp;W28,"open"))</f>
        <v/>
      </c>
    </row>
    <row r="29" customFormat="false" ht="23.85" hidden="false" customHeight="false" outlineLevel="0" collapsed="false">
      <c r="A29" s="13" t="n">
        <v>22</v>
      </c>
      <c r="B29" s="13" t="s">
        <v>186</v>
      </c>
      <c r="C29" s="13" t="n">
        <v>1</v>
      </c>
      <c r="D29" s="13" t="s">
        <v>187</v>
      </c>
      <c r="E29" s="13" t="s">
        <v>188</v>
      </c>
      <c r="F29" s="13" t="s">
        <v>189</v>
      </c>
      <c r="G29" s="13" t="s">
        <v>171</v>
      </c>
      <c r="H29" s="13" t="s">
        <v>190</v>
      </c>
      <c r="I29" s="13" t="s">
        <v>191</v>
      </c>
      <c r="J29" s="14" t="n">
        <v>29560</v>
      </c>
      <c r="K29" s="15" t="n">
        <v>0.58</v>
      </c>
      <c r="L29" s="13" t="n">
        <v>1</v>
      </c>
      <c r="M29" s="11" t="s">
        <v>53</v>
      </c>
      <c r="N29" s="13"/>
      <c r="O29" s="13"/>
      <c r="P29" s="13"/>
      <c r="Q29" s="14"/>
      <c r="R29" s="15"/>
      <c r="S29" s="11" t="s">
        <v>54</v>
      </c>
      <c r="T29" s="11" t="n">
        <v>0</v>
      </c>
      <c r="U29" s="13" t="n">
        <f aca="false">IF(S29="Y",C29*$B$4+T29,0)</f>
        <v>1</v>
      </c>
      <c r="V29" s="13" t="str">
        <f aca="false">IF(M29="Y",N29,G29)</f>
        <v>Sullins Connector Solutions</v>
      </c>
      <c r="W29" s="13" t="str">
        <f aca="false">IF(M29="Y",O29,H29)</f>
        <v>PPTC081LFBN-RC</v>
      </c>
      <c r="X29" s="13" t="str">
        <f aca="false">IF(M29="Y",P29,I29)</f>
        <v>S7006-ND</v>
      </c>
      <c r="Y29" s="16" t="n">
        <f aca="false">U29*IF(M29="Y",R29,K29)</f>
        <v>0.58</v>
      </c>
      <c r="Z29" s="13" t="s">
        <v>192</v>
      </c>
      <c r="AA29" s="13" t="str">
        <f aca="false">IF(W29="","",HYPERLINK("https://www.digikey.com/en/products/result?keywords="&amp;W29,"open"))</f>
        <v>open</v>
      </c>
    </row>
    <row r="30" customFormat="false" ht="35.05" hidden="false" customHeight="false" outlineLevel="0" collapsed="false">
      <c r="A30" s="8" t="n">
        <v>23</v>
      </c>
      <c r="B30" s="8" t="s">
        <v>193</v>
      </c>
      <c r="C30" s="8" t="n">
        <v>2</v>
      </c>
      <c r="D30" s="8" t="s">
        <v>194</v>
      </c>
      <c r="E30" s="8" t="s">
        <v>195</v>
      </c>
      <c r="F30" s="8" t="s">
        <v>49</v>
      </c>
      <c r="G30" s="8" t="s">
        <v>196</v>
      </c>
      <c r="H30" s="8" t="s">
        <v>197</v>
      </c>
      <c r="I30" s="8" t="s">
        <v>198</v>
      </c>
      <c r="J30" s="9" t="n">
        <v>10591</v>
      </c>
      <c r="K30" s="10" t="n">
        <v>1.34</v>
      </c>
      <c r="L30" s="8" t="n">
        <v>1</v>
      </c>
      <c r="M30" s="11" t="s">
        <v>53</v>
      </c>
      <c r="N30" s="8"/>
      <c r="O30" s="8"/>
      <c r="P30" s="8"/>
      <c r="Q30" s="9"/>
      <c r="R30" s="10"/>
      <c r="S30" s="11" t="s">
        <v>54</v>
      </c>
      <c r="T30" s="11" t="n">
        <v>0</v>
      </c>
      <c r="U30" s="8" t="n">
        <f aca="false">IF(S30="Y",C30*$B$4+T30,0)</f>
        <v>2</v>
      </c>
      <c r="V30" s="8" t="str">
        <f aca="false">IF(M30="Y",N30,G30)</f>
        <v>Coilcraft</v>
      </c>
      <c r="W30" s="8" t="str">
        <f aca="false">IF(M30="Y",O30,H30)</f>
        <v>0805CS-471XJRC</v>
      </c>
      <c r="X30" s="8" t="str">
        <f aca="false">IF(M30="Y",P30,I30)</f>
        <v>2457-0805CS-471XJRC-ND</v>
      </c>
      <c r="Y30" s="12" t="n">
        <f aca="false">U30*IF(M30="Y",R30,K30)</f>
        <v>2.68</v>
      </c>
      <c r="Z30" s="8" t="s">
        <v>199</v>
      </c>
      <c r="AA30" s="8" t="str">
        <f aca="false">IF(W30="","",HYPERLINK("https://www.digikey.com/en/products/result?keywords="&amp;W30,"open"))</f>
        <v>open</v>
      </c>
    </row>
    <row r="31" customFormat="false" ht="23.85" hidden="false" customHeight="false" outlineLevel="0" collapsed="false">
      <c r="A31" s="13" t="n">
        <v>24</v>
      </c>
      <c r="B31" s="13" t="s">
        <v>200</v>
      </c>
      <c r="C31" s="13" t="n">
        <v>1</v>
      </c>
      <c r="D31" s="13" t="s">
        <v>201</v>
      </c>
      <c r="E31" s="13" t="s">
        <v>202</v>
      </c>
      <c r="F31" s="13" t="s">
        <v>203</v>
      </c>
      <c r="G31" s="13" t="s">
        <v>204</v>
      </c>
      <c r="H31" s="13" t="s">
        <v>201</v>
      </c>
      <c r="I31" s="13" t="s">
        <v>205</v>
      </c>
      <c r="J31" s="14" t="n">
        <v>303749</v>
      </c>
      <c r="K31" s="15" t="n">
        <v>0.52</v>
      </c>
      <c r="L31" s="13" t="n">
        <v>1</v>
      </c>
      <c r="M31" s="11" t="s">
        <v>53</v>
      </c>
      <c r="N31" s="13"/>
      <c r="O31" s="13"/>
      <c r="P31" s="13"/>
      <c r="Q31" s="14"/>
      <c r="R31" s="15"/>
      <c r="S31" s="11" t="s">
        <v>54</v>
      </c>
      <c r="T31" s="11" t="n">
        <v>0</v>
      </c>
      <c r="U31" s="13" t="n">
        <f aca="false">IF(S31="Y",C31*$B$4+T31,0)</f>
        <v>1</v>
      </c>
      <c r="V31" s="13" t="str">
        <f aca="false">IF(M31="Y",N31,G31)</f>
        <v>Alpha &amp; Omega Semiconductor</v>
      </c>
      <c r="W31" s="13" t="str">
        <f aca="false">IF(M31="Y",O31,H31)</f>
        <v>AO3400A</v>
      </c>
      <c r="X31" s="13" t="str">
        <f aca="false">IF(M31="Y",P31,I31)</f>
        <v>785-1000-1-ND</v>
      </c>
      <c r="Y31" s="16" t="n">
        <f aca="false">U31*IF(M31="Y",R31,K31)</f>
        <v>0.52</v>
      </c>
      <c r="Z31" s="13"/>
      <c r="AA31" s="13" t="str">
        <f aca="false">IF(W31="","",HYPERLINK("https://www.digikey.com/en/products/result?keywords="&amp;W31,"open"))</f>
        <v>open</v>
      </c>
    </row>
    <row r="32" customFormat="false" ht="23.85" hidden="false" customHeight="false" outlineLevel="0" collapsed="false">
      <c r="A32" s="8" t="n">
        <v>25</v>
      </c>
      <c r="B32" s="8" t="s">
        <v>206</v>
      </c>
      <c r="C32" s="8" t="n">
        <v>2</v>
      </c>
      <c r="D32" s="8" t="s">
        <v>207</v>
      </c>
      <c r="E32" s="8" t="s">
        <v>208</v>
      </c>
      <c r="F32" s="8" t="s">
        <v>49</v>
      </c>
      <c r="G32" s="8" t="s">
        <v>209</v>
      </c>
      <c r="H32" s="8" t="s">
        <v>210</v>
      </c>
      <c r="I32" s="8" t="s">
        <v>211</v>
      </c>
      <c r="J32" s="9" t="n">
        <v>101761</v>
      </c>
      <c r="K32" s="10" t="n">
        <v>0.027</v>
      </c>
      <c r="L32" s="8" t="n">
        <v>10</v>
      </c>
      <c r="M32" s="11" t="s">
        <v>53</v>
      </c>
      <c r="N32" s="8"/>
      <c r="O32" s="8"/>
      <c r="P32" s="8"/>
      <c r="Q32" s="9"/>
      <c r="R32" s="10"/>
      <c r="S32" s="11" t="s">
        <v>54</v>
      </c>
      <c r="T32" s="11" t="n">
        <v>2</v>
      </c>
      <c r="U32" s="8" t="n">
        <f aca="false">IF(S32="Y",C32*$B$4+T32,0)</f>
        <v>4</v>
      </c>
      <c r="V32" s="8" t="str">
        <f aca="false">IF(M32="Y",N32,G32)</f>
        <v>Stackpole Electronics</v>
      </c>
      <c r="W32" s="8" t="str">
        <f aca="false">IF(M32="Y",O32,H32)</f>
        <v>RMCF0805FT5K10</v>
      </c>
      <c r="X32" s="8" t="str">
        <f aca="false">IF(M32="Y",P32,I32)</f>
        <v>RMCF0805FT5K10CT-ND</v>
      </c>
      <c r="Y32" s="12" t="n">
        <f aca="false">U32*IF(M32="Y",R32,K32)</f>
        <v>0.108</v>
      </c>
      <c r="Z32" s="8" t="s">
        <v>212</v>
      </c>
      <c r="AA32" s="8" t="str">
        <f aca="false">IF(W32="","",HYPERLINK("https://www.digikey.com/en/products/result?keywords="&amp;W32,"open"))</f>
        <v>open</v>
      </c>
    </row>
    <row r="33" customFormat="false" ht="23.85" hidden="false" customHeight="false" outlineLevel="0" collapsed="false">
      <c r="A33" s="13" t="n">
        <v>26</v>
      </c>
      <c r="B33" s="13" t="s">
        <v>213</v>
      </c>
      <c r="C33" s="13" t="n">
        <v>5</v>
      </c>
      <c r="D33" s="13" t="s">
        <v>214</v>
      </c>
      <c r="E33" s="13" t="s">
        <v>215</v>
      </c>
      <c r="F33" s="13" t="s">
        <v>49</v>
      </c>
      <c r="G33" s="13" t="s">
        <v>209</v>
      </c>
      <c r="H33" s="13" t="s">
        <v>216</v>
      </c>
      <c r="I33" s="13" t="s">
        <v>217</v>
      </c>
      <c r="J33" s="14" t="n">
        <v>106645</v>
      </c>
      <c r="K33" s="15" t="n">
        <v>0.027</v>
      </c>
      <c r="L33" s="13" t="n">
        <v>10</v>
      </c>
      <c r="M33" s="11" t="s">
        <v>53</v>
      </c>
      <c r="N33" s="13"/>
      <c r="O33" s="13"/>
      <c r="P33" s="13"/>
      <c r="Q33" s="14"/>
      <c r="R33" s="15"/>
      <c r="S33" s="11" t="s">
        <v>54</v>
      </c>
      <c r="T33" s="11" t="n">
        <v>2</v>
      </c>
      <c r="U33" s="13" t="n">
        <f aca="false">IF(S33="Y",C33*$B$4+T33,0)</f>
        <v>7</v>
      </c>
      <c r="V33" s="13" t="str">
        <f aca="false">IF(M33="Y",N33,G33)</f>
        <v>Stackpole Electronics</v>
      </c>
      <c r="W33" s="13" t="str">
        <f aca="false">IF(M33="Y",O33,H33)</f>
        <v>RMCF0805FT470R</v>
      </c>
      <c r="X33" s="13" t="str">
        <f aca="false">IF(M33="Y",P33,I33)</f>
        <v>RMCF0805FT470RCT-ND</v>
      </c>
      <c r="Y33" s="16" t="n">
        <f aca="false">U33*IF(M33="Y",R33,K33)</f>
        <v>0.189</v>
      </c>
      <c r="Z33" s="13"/>
      <c r="AA33" s="13" t="str">
        <f aca="false">IF(W33="","",HYPERLINK("https://www.digikey.com/en/products/result?keywords="&amp;W33,"open"))</f>
        <v>open</v>
      </c>
    </row>
    <row r="34" customFormat="false" ht="35.05" hidden="false" customHeight="false" outlineLevel="0" collapsed="false">
      <c r="A34" s="8" t="n">
        <v>27</v>
      </c>
      <c r="B34" s="8" t="s">
        <v>218</v>
      </c>
      <c r="C34" s="8" t="n">
        <v>1</v>
      </c>
      <c r="D34" s="8" t="s">
        <v>219</v>
      </c>
      <c r="E34" s="8" t="s">
        <v>220</v>
      </c>
      <c r="F34" s="8" t="s">
        <v>49</v>
      </c>
      <c r="G34" s="8" t="s">
        <v>209</v>
      </c>
      <c r="H34" s="8" t="s">
        <v>221</v>
      </c>
      <c r="I34" s="8" t="s">
        <v>222</v>
      </c>
      <c r="J34" s="9" t="n">
        <v>320655</v>
      </c>
      <c r="K34" s="10" t="n">
        <v>0.027</v>
      </c>
      <c r="L34" s="8" t="n">
        <v>10</v>
      </c>
      <c r="M34" s="11" t="s">
        <v>53</v>
      </c>
      <c r="N34" s="8" t="s">
        <v>209</v>
      </c>
      <c r="O34" s="8" t="s">
        <v>223</v>
      </c>
      <c r="P34" s="8" t="s">
        <v>224</v>
      </c>
      <c r="Q34" s="9" t="n">
        <v>119534</v>
      </c>
      <c r="R34" s="10" t="n">
        <v>0.027</v>
      </c>
      <c r="S34" s="11" t="s">
        <v>54</v>
      </c>
      <c r="T34" s="11" t="n">
        <v>2</v>
      </c>
      <c r="U34" s="8" t="n">
        <f aca="false">IF(S34="Y",C34*$B$4+T34,0)</f>
        <v>3</v>
      </c>
      <c r="V34" s="8" t="str">
        <f aca="false">IF(M34="Y",N34,G34)</f>
        <v>Stackpole Electronics</v>
      </c>
      <c r="W34" s="8" t="str">
        <f aca="false">IF(M34="Y",O34,H34)</f>
        <v>RMCF0805FT1K00</v>
      </c>
      <c r="X34" s="8" t="str">
        <f aca="false">IF(M34="Y",P34,I34)</f>
        <v>RMCF0805FT1K00CT-ND</v>
      </c>
      <c r="Y34" s="12" t="n">
        <f aca="false">U34*IF(M34="Y",R34,K34)</f>
        <v>0.081</v>
      </c>
      <c r="Z34" s="8" t="s">
        <v>225</v>
      </c>
      <c r="AA34" s="8" t="str">
        <f aca="false">IF(W34="","",HYPERLINK("https://www.digikey.com/en/products/result?keywords="&amp;W34,"open"))</f>
        <v>open</v>
      </c>
    </row>
    <row r="35" customFormat="false" ht="15" hidden="false" customHeight="false" outlineLevel="0" collapsed="false">
      <c r="A35" s="13" t="n">
        <v>28</v>
      </c>
      <c r="B35" s="13" t="s">
        <v>226</v>
      </c>
      <c r="C35" s="13" t="n">
        <v>5</v>
      </c>
      <c r="D35" s="13" t="s">
        <v>227</v>
      </c>
      <c r="E35" s="13" t="s">
        <v>228</v>
      </c>
      <c r="F35" s="13" t="s">
        <v>49</v>
      </c>
      <c r="G35" s="13" t="s">
        <v>209</v>
      </c>
      <c r="H35" s="13" t="s">
        <v>229</v>
      </c>
      <c r="I35" s="13" t="s">
        <v>230</v>
      </c>
      <c r="J35" s="14" t="n">
        <v>3852513</v>
      </c>
      <c r="K35" s="15" t="n">
        <v>0.027</v>
      </c>
      <c r="L35" s="13" t="n">
        <v>10</v>
      </c>
      <c r="M35" s="11" t="s">
        <v>53</v>
      </c>
      <c r="N35" s="13"/>
      <c r="O35" s="13"/>
      <c r="P35" s="13"/>
      <c r="Q35" s="14"/>
      <c r="R35" s="15"/>
      <c r="S35" s="11" t="s">
        <v>54</v>
      </c>
      <c r="T35" s="11" t="n">
        <v>2</v>
      </c>
      <c r="U35" s="13" t="n">
        <f aca="false">IF(S35="Y",C35*$B$4+T35,0)</f>
        <v>7</v>
      </c>
      <c r="V35" s="13" t="str">
        <f aca="false">IF(M35="Y",N35,G35)</f>
        <v>Stackpole Electronics</v>
      </c>
      <c r="W35" s="13" t="str">
        <f aca="false">IF(M35="Y",O35,H35)</f>
        <v>RMCF0805FT10K0</v>
      </c>
      <c r="X35" s="13" t="str">
        <f aca="false">IF(M35="Y",P35,I35)</f>
        <v>RMCF0805FT10K0CT-ND</v>
      </c>
      <c r="Y35" s="16" t="n">
        <f aca="false">U35*IF(M35="Y",R35,K35)</f>
        <v>0.189</v>
      </c>
      <c r="Z35" s="13"/>
      <c r="AA35" s="13" t="str">
        <f aca="false">IF(W35="","",HYPERLINK("https://www.digikey.com/en/products/result?keywords="&amp;W35,"open"))</f>
        <v>open</v>
      </c>
    </row>
    <row r="36" customFormat="false" ht="15" hidden="false" customHeight="false" outlineLevel="0" collapsed="false">
      <c r="A36" s="8" t="n">
        <v>29</v>
      </c>
      <c r="B36" s="8" t="s">
        <v>231</v>
      </c>
      <c r="C36" s="8" t="n">
        <v>1</v>
      </c>
      <c r="D36" s="8" t="s">
        <v>232</v>
      </c>
      <c r="E36" s="8" t="s">
        <v>233</v>
      </c>
      <c r="F36" s="8" t="s">
        <v>49</v>
      </c>
      <c r="G36" s="8" t="s">
        <v>209</v>
      </c>
      <c r="H36" s="8" t="s">
        <v>234</v>
      </c>
      <c r="I36" s="8" t="s">
        <v>235</v>
      </c>
      <c r="J36" s="9" t="n">
        <v>149568</v>
      </c>
      <c r="K36" s="10" t="n">
        <v>0.027</v>
      </c>
      <c r="L36" s="8" t="n">
        <v>10</v>
      </c>
      <c r="M36" s="11" t="s">
        <v>53</v>
      </c>
      <c r="N36" s="8"/>
      <c r="O36" s="8"/>
      <c r="P36" s="8"/>
      <c r="Q36" s="9"/>
      <c r="R36" s="10"/>
      <c r="S36" s="11" t="s">
        <v>54</v>
      </c>
      <c r="T36" s="11" t="n">
        <v>2</v>
      </c>
      <c r="U36" s="8" t="n">
        <f aca="false">IF(S36="Y",C36*$B$4+T36,0)</f>
        <v>3</v>
      </c>
      <c r="V36" s="8" t="str">
        <f aca="false">IF(M36="Y",N36,G36)</f>
        <v>Stackpole Electronics</v>
      </c>
      <c r="W36" s="8" t="str">
        <f aca="false">IF(M36="Y",O36,H36)</f>
        <v>RMCF0805FT1K50</v>
      </c>
      <c r="X36" s="8" t="str">
        <f aca="false">IF(M36="Y",P36,I36)</f>
        <v>RMCF0805FT1K50CT-ND</v>
      </c>
      <c r="Y36" s="12" t="n">
        <f aca="false">U36*IF(M36="Y",R36,K36)</f>
        <v>0.081</v>
      </c>
      <c r="Z36" s="8" t="s">
        <v>236</v>
      </c>
      <c r="AA36" s="8" t="str">
        <f aca="false">IF(W36="","",HYPERLINK("https://www.digikey.com/en/products/result?keywords="&amp;W36,"open"))</f>
        <v>open</v>
      </c>
    </row>
    <row r="37" customFormat="false" ht="23.85" hidden="false" customHeight="false" outlineLevel="0" collapsed="false">
      <c r="A37" s="13" t="n">
        <v>30</v>
      </c>
      <c r="B37" s="13" t="s">
        <v>237</v>
      </c>
      <c r="C37" s="13" t="n">
        <v>3</v>
      </c>
      <c r="D37" s="13" t="s">
        <v>238</v>
      </c>
      <c r="E37" s="13" t="s">
        <v>239</v>
      </c>
      <c r="F37" s="13" t="s">
        <v>49</v>
      </c>
      <c r="G37" s="13" t="s">
        <v>209</v>
      </c>
      <c r="H37" s="13" t="s">
        <v>240</v>
      </c>
      <c r="I37" s="13" t="s">
        <v>241</v>
      </c>
      <c r="J37" s="14" t="n">
        <v>12637</v>
      </c>
      <c r="K37" s="15" t="n">
        <v>0.031</v>
      </c>
      <c r="L37" s="13" t="n">
        <v>10</v>
      </c>
      <c r="M37" s="11" t="s">
        <v>53</v>
      </c>
      <c r="N37" s="13"/>
      <c r="O37" s="13"/>
      <c r="P37" s="13"/>
      <c r="Q37" s="14"/>
      <c r="R37" s="15"/>
      <c r="S37" s="11" t="s">
        <v>54</v>
      </c>
      <c r="T37" s="11" t="n">
        <v>2</v>
      </c>
      <c r="U37" s="13" t="n">
        <f aca="false">IF(S37="Y",C37*$B$4+T37,0)</f>
        <v>5</v>
      </c>
      <c r="V37" s="13" t="str">
        <f aca="false">IF(M37="Y",N37,G37)</f>
        <v>Stackpole Electronics</v>
      </c>
      <c r="W37" s="13" t="str">
        <f aca="false">IF(M37="Y",O37,H37)</f>
        <v>RMCF0805FT4M70</v>
      </c>
      <c r="X37" s="13" t="str">
        <f aca="false">IF(M37="Y",P37,I37)</f>
        <v>RMCF0805FT4M70CT-ND</v>
      </c>
      <c r="Y37" s="16" t="n">
        <f aca="false">U37*IF(M37="Y",R37,K37)</f>
        <v>0.155</v>
      </c>
      <c r="Z37" s="13"/>
      <c r="AA37" s="13" t="str">
        <f aca="false">IF(W37="","",HYPERLINK("https://www.digikey.com/en/products/result?keywords="&amp;W37,"open"))</f>
        <v>open</v>
      </c>
    </row>
    <row r="38" customFormat="false" ht="23.85" hidden="false" customHeight="false" outlineLevel="0" collapsed="false">
      <c r="A38" s="8" t="n">
        <v>31</v>
      </c>
      <c r="B38" s="8" t="s">
        <v>242</v>
      </c>
      <c r="C38" s="8" t="n">
        <v>1</v>
      </c>
      <c r="D38" s="8" t="s">
        <v>243</v>
      </c>
      <c r="E38" s="8" t="s">
        <v>244</v>
      </c>
      <c r="F38" s="8" t="s">
        <v>49</v>
      </c>
      <c r="G38" s="8" t="s">
        <v>209</v>
      </c>
      <c r="H38" s="8" t="s">
        <v>245</v>
      </c>
      <c r="I38" s="8" t="s">
        <v>246</v>
      </c>
      <c r="J38" s="9" t="n">
        <v>6211</v>
      </c>
      <c r="K38" s="10" t="n">
        <v>0.031</v>
      </c>
      <c r="L38" s="8" t="n">
        <v>10</v>
      </c>
      <c r="M38" s="11" t="s">
        <v>53</v>
      </c>
      <c r="N38" s="8"/>
      <c r="O38" s="8"/>
      <c r="P38" s="8"/>
      <c r="Q38" s="9"/>
      <c r="R38" s="10"/>
      <c r="S38" s="11" t="s">
        <v>54</v>
      </c>
      <c r="T38" s="11" t="n">
        <v>2</v>
      </c>
      <c r="U38" s="8" t="n">
        <f aca="false">IF(S38="Y",C38*$B$4+T38,0)</f>
        <v>3</v>
      </c>
      <c r="V38" s="8" t="str">
        <f aca="false">IF(M38="Y",N38,G38)</f>
        <v>Stackpole Electronics</v>
      </c>
      <c r="W38" s="8" t="str">
        <f aca="false">IF(M38="Y",O38,H38)</f>
        <v>RMCF0805FT2M70</v>
      </c>
      <c r="X38" s="8" t="str">
        <f aca="false">IF(M38="Y",P38,I38)</f>
        <v>RMCF0805FT2M70CT-ND</v>
      </c>
      <c r="Y38" s="12" t="n">
        <f aca="false">U38*IF(M38="Y",R38,K38)</f>
        <v>0.093</v>
      </c>
      <c r="Z38" s="8"/>
      <c r="AA38" s="8" t="str">
        <f aca="false">IF(W38="","",HYPERLINK("https://www.digikey.com/en/products/result?keywords="&amp;W38,"open"))</f>
        <v>open</v>
      </c>
    </row>
    <row r="39" customFormat="false" ht="15" hidden="false" customHeight="false" outlineLevel="0" collapsed="false">
      <c r="A39" s="13" t="n">
        <v>32</v>
      </c>
      <c r="B39" s="13" t="s">
        <v>247</v>
      </c>
      <c r="C39" s="13" t="n">
        <v>2</v>
      </c>
      <c r="D39" s="13" t="s">
        <v>248</v>
      </c>
      <c r="E39" s="13" t="s">
        <v>249</v>
      </c>
      <c r="F39" s="13" t="s">
        <v>49</v>
      </c>
      <c r="G39" s="13" t="s">
        <v>209</v>
      </c>
      <c r="H39" s="13" t="s">
        <v>250</v>
      </c>
      <c r="I39" s="13" t="s">
        <v>251</v>
      </c>
      <c r="J39" s="14" t="n">
        <v>3287189</v>
      </c>
      <c r="K39" s="15" t="n">
        <v>0.01</v>
      </c>
      <c r="L39" s="13" t="n">
        <v>10</v>
      </c>
      <c r="M39" s="11" t="s">
        <v>53</v>
      </c>
      <c r="N39" s="13"/>
      <c r="O39" s="13"/>
      <c r="P39" s="13"/>
      <c r="Q39" s="14"/>
      <c r="R39" s="15"/>
      <c r="S39" s="11" t="s">
        <v>54</v>
      </c>
      <c r="T39" s="11" t="n">
        <v>2</v>
      </c>
      <c r="U39" s="13" t="n">
        <f aca="false">IF(S39="Y",C39*$B$4+T39,0)</f>
        <v>4</v>
      </c>
      <c r="V39" s="13" t="str">
        <f aca="false">IF(M39="Y",N39,G39)</f>
        <v>Stackpole Electronics</v>
      </c>
      <c r="W39" s="13" t="str">
        <f aca="false">IF(M39="Y",O39,H39)</f>
        <v>RMCF0805ZT0R00</v>
      </c>
      <c r="X39" s="13" t="str">
        <f aca="false">IF(M39="Y",P39,I39)</f>
        <v>RMCF0805ZT0R00CT-ND</v>
      </c>
      <c r="Y39" s="16" t="n">
        <f aca="false">U39*IF(M39="Y",R39,K39)</f>
        <v>0.04</v>
      </c>
      <c r="Z39" s="13"/>
      <c r="AA39" s="13" t="str">
        <f aca="false">IF(W39="","",HYPERLINK("https://www.digikey.com/en/products/result?keywords="&amp;W39,"open"))</f>
        <v>open</v>
      </c>
    </row>
    <row r="40" customFormat="false" ht="23.85" hidden="false" customHeight="false" outlineLevel="0" collapsed="false">
      <c r="A40" s="8" t="n">
        <v>33</v>
      </c>
      <c r="B40" s="8" t="s">
        <v>252</v>
      </c>
      <c r="C40" s="8" t="n">
        <v>3</v>
      </c>
      <c r="D40" s="8" t="s">
        <v>253</v>
      </c>
      <c r="E40" s="8" t="s">
        <v>254</v>
      </c>
      <c r="F40" s="8" t="s">
        <v>255</v>
      </c>
      <c r="G40" s="8" t="s">
        <v>256</v>
      </c>
      <c r="H40" s="8" t="s">
        <v>257</v>
      </c>
      <c r="I40" s="8" t="s">
        <v>258</v>
      </c>
      <c r="J40" s="9" t="n">
        <v>20227</v>
      </c>
      <c r="K40" s="10" t="n">
        <v>0.29</v>
      </c>
      <c r="L40" s="8" t="n">
        <v>1</v>
      </c>
      <c r="M40" s="11" t="s">
        <v>53</v>
      </c>
      <c r="N40" s="8"/>
      <c r="O40" s="8"/>
      <c r="P40" s="8"/>
      <c r="Q40" s="9"/>
      <c r="R40" s="10"/>
      <c r="S40" s="11" t="s">
        <v>54</v>
      </c>
      <c r="T40" s="11" t="n">
        <v>0</v>
      </c>
      <c r="U40" s="8" t="n">
        <f aca="false">IF(S40="Y",C40*$B$4+T40,0)</f>
        <v>3</v>
      </c>
      <c r="V40" s="8" t="str">
        <f aca="false">IF(M40="Y",N40,G40)</f>
        <v>C&amp;K</v>
      </c>
      <c r="W40" s="8" t="str">
        <f aca="false">IF(M40="Y",O40,H40)</f>
        <v>PTS636SM25SMTR LFS</v>
      </c>
      <c r="X40" s="8" t="str">
        <f aca="false">IF(M40="Y",P40,I40)</f>
        <v>CKN12321-1-ND</v>
      </c>
      <c r="Y40" s="12" t="n">
        <f aca="false">U40*IF(M40="Y",R40,K40)</f>
        <v>0.87</v>
      </c>
      <c r="Z40" s="8" t="s">
        <v>259</v>
      </c>
      <c r="AA40" s="8" t="str">
        <f aca="false">IF(W40="","",HYPERLINK("https://www.digikey.com/en/products/result?keywords="&amp;W40,"open"))</f>
        <v>open</v>
      </c>
    </row>
    <row r="41" customFormat="false" ht="23.85" hidden="false" customHeight="false" outlineLevel="0" collapsed="false">
      <c r="A41" s="13" t="n">
        <v>34</v>
      </c>
      <c r="B41" s="13" t="s">
        <v>260</v>
      </c>
      <c r="C41" s="13" t="n">
        <v>1</v>
      </c>
      <c r="D41" s="13" t="s">
        <v>261</v>
      </c>
      <c r="E41" s="13" t="s">
        <v>262</v>
      </c>
      <c r="F41" s="13" t="s">
        <v>263</v>
      </c>
      <c r="G41" s="13" t="s">
        <v>264</v>
      </c>
      <c r="H41" s="13" t="s">
        <v>265</v>
      </c>
      <c r="I41" s="13" t="s">
        <v>266</v>
      </c>
      <c r="J41" s="14" t="n">
        <v>10220</v>
      </c>
      <c r="K41" s="15" t="n">
        <v>0.6</v>
      </c>
      <c r="L41" s="13" t="n">
        <v>1</v>
      </c>
      <c r="M41" s="11" t="s">
        <v>53</v>
      </c>
      <c r="N41" s="13"/>
      <c r="O41" s="13"/>
      <c r="P41" s="13"/>
      <c r="Q41" s="14"/>
      <c r="R41" s="15"/>
      <c r="S41" s="11" t="s">
        <v>54</v>
      </c>
      <c r="T41" s="11" t="n">
        <v>0</v>
      </c>
      <c r="U41" s="13" t="n">
        <f aca="false">IF(S41="Y",C41*$B$4+T41,0)</f>
        <v>1</v>
      </c>
      <c r="V41" s="13" t="str">
        <f aca="false">IF(M41="Y",N41,G41)</f>
        <v>Vishay BC Components</v>
      </c>
      <c r="W41" s="13" t="str">
        <f aca="false">IF(M41="Y",O41,H41)</f>
        <v>NTCLE100E3103JB0</v>
      </c>
      <c r="X41" s="13" t="str">
        <f aca="false">IF(M41="Y",P41,I41)</f>
        <v>BC2301-ND</v>
      </c>
      <c r="Y41" s="16" t="n">
        <f aca="false">U41*IF(M41="Y",R41,K41)</f>
        <v>0.6</v>
      </c>
      <c r="Z41" s="13" t="s">
        <v>267</v>
      </c>
      <c r="AA41" s="13" t="str">
        <f aca="false">IF(W41="","",HYPERLINK("https://www.digikey.com/en/products/result?keywords="&amp;W41,"open"))</f>
        <v>open</v>
      </c>
    </row>
    <row r="42" customFormat="false" ht="23.85" hidden="false" customHeight="false" outlineLevel="0" collapsed="false">
      <c r="A42" s="8" t="n">
        <v>35</v>
      </c>
      <c r="B42" s="8" t="s">
        <v>268</v>
      </c>
      <c r="C42" s="8" t="n">
        <v>1</v>
      </c>
      <c r="D42" s="8" t="s">
        <v>269</v>
      </c>
      <c r="E42" s="8" t="s">
        <v>270</v>
      </c>
      <c r="F42" s="8" t="s">
        <v>271</v>
      </c>
      <c r="G42" s="8" t="s">
        <v>272</v>
      </c>
      <c r="H42" s="8" t="s">
        <v>273</v>
      </c>
      <c r="I42" s="8" t="s">
        <v>274</v>
      </c>
      <c r="J42" s="9" t="n">
        <v>1307</v>
      </c>
      <c r="K42" s="10" t="n">
        <v>6.1</v>
      </c>
      <c r="L42" s="8" t="n">
        <v>1</v>
      </c>
      <c r="M42" s="11" t="s">
        <v>53</v>
      </c>
      <c r="N42" s="8"/>
      <c r="O42" s="8"/>
      <c r="P42" s="8"/>
      <c r="Q42" s="9"/>
      <c r="R42" s="10"/>
      <c r="S42" s="11" t="s">
        <v>54</v>
      </c>
      <c r="T42" s="11" t="n">
        <v>0</v>
      </c>
      <c r="U42" s="8" t="n">
        <f aca="false">IF(S42="Y",C42*$B$4+T42,0)</f>
        <v>1</v>
      </c>
      <c r="V42" s="8" t="str">
        <f aca="false">IF(M42="Y",N42,G42)</f>
        <v>STMicroelectronics</v>
      </c>
      <c r="W42" s="8" t="str">
        <f aca="false">IF(M42="Y",O42,H42)</f>
        <v>STM32L432KCU6TR</v>
      </c>
      <c r="X42" s="8" t="str">
        <f aca="false">IF(M42="Y",P42,I42)</f>
        <v>497-STM32L432KCU6TRCT-ND</v>
      </c>
      <c r="Y42" s="12" t="n">
        <f aca="false">U42*IF(M42="Y",R42,K42)</f>
        <v>6.1</v>
      </c>
      <c r="Z42" s="8" t="s">
        <v>275</v>
      </c>
      <c r="AA42" s="8" t="str">
        <f aca="false">IF(W42="","",HYPERLINK("https://www.digikey.com/en/products/result?keywords="&amp;W42,"open"))</f>
        <v>open</v>
      </c>
    </row>
    <row r="43" customFormat="false" ht="15" hidden="false" customHeight="false" outlineLevel="0" collapsed="false">
      <c r="A43" s="13" t="n">
        <v>36</v>
      </c>
      <c r="B43" s="13" t="s">
        <v>276</v>
      </c>
      <c r="C43" s="13" t="n">
        <v>1</v>
      </c>
      <c r="D43" s="13" t="s">
        <v>277</v>
      </c>
      <c r="E43" s="13" t="s">
        <v>278</v>
      </c>
      <c r="F43" s="13" t="s">
        <v>279</v>
      </c>
      <c r="G43" s="13" t="s">
        <v>280</v>
      </c>
      <c r="H43" s="13" t="s">
        <v>281</v>
      </c>
      <c r="I43" s="13" t="s">
        <v>282</v>
      </c>
      <c r="J43" s="14" t="n">
        <v>1437</v>
      </c>
      <c r="K43" s="15" t="n">
        <v>1.14</v>
      </c>
      <c r="L43" s="13" t="n">
        <v>1</v>
      </c>
      <c r="M43" s="11" t="s">
        <v>53</v>
      </c>
      <c r="N43" s="13"/>
      <c r="O43" s="13"/>
      <c r="P43" s="13"/>
      <c r="Q43" s="14"/>
      <c r="R43" s="15"/>
      <c r="S43" s="11" t="s">
        <v>54</v>
      </c>
      <c r="T43" s="11" t="n">
        <v>0</v>
      </c>
      <c r="U43" s="13" t="n">
        <f aca="false">IF(S43="Y",C43*$B$4+T43,0)</f>
        <v>1</v>
      </c>
      <c r="V43" s="13" t="str">
        <f aca="false">IF(M43="Y",N43,G43)</f>
        <v>Microchip Technology</v>
      </c>
      <c r="W43" s="13" t="str">
        <f aca="false">IF(M43="Y",O43,H43)</f>
        <v>MCP73833-AMI/UN</v>
      </c>
      <c r="X43" s="13" t="str">
        <f aca="false">IF(M43="Y",P43,I43)</f>
        <v>MCP73833-AMI/UN-ND</v>
      </c>
      <c r="Y43" s="16" t="n">
        <f aca="false">U43*IF(M43="Y",R43,K43)</f>
        <v>1.14</v>
      </c>
      <c r="Z43" s="13" t="s">
        <v>283</v>
      </c>
      <c r="AA43" s="13" t="str">
        <f aca="false">IF(W43="","",HYPERLINK("https://www.digikey.com/en/products/result?keywords="&amp;W43,"open"))</f>
        <v>open</v>
      </c>
    </row>
    <row r="44" customFormat="false" ht="15" hidden="false" customHeight="false" outlineLevel="0" collapsed="false">
      <c r="A44" s="8" t="n">
        <v>37</v>
      </c>
      <c r="B44" s="8" t="s">
        <v>284</v>
      </c>
      <c r="C44" s="8" t="n">
        <v>1</v>
      </c>
      <c r="D44" s="8" t="s">
        <v>285</v>
      </c>
      <c r="E44" s="8" t="s">
        <v>286</v>
      </c>
      <c r="F44" s="8" t="s">
        <v>287</v>
      </c>
      <c r="G44" s="8" t="s">
        <v>288</v>
      </c>
      <c r="H44" s="8" t="s">
        <v>289</v>
      </c>
      <c r="I44" s="8" t="s">
        <v>290</v>
      </c>
      <c r="J44" s="9" t="n">
        <v>6864</v>
      </c>
      <c r="K44" s="10" t="n">
        <v>0.84</v>
      </c>
      <c r="L44" s="8" t="n">
        <v>1</v>
      </c>
      <c r="M44" s="11" t="s">
        <v>53</v>
      </c>
      <c r="N44" s="8"/>
      <c r="O44" s="8"/>
      <c r="P44" s="8"/>
      <c r="Q44" s="9"/>
      <c r="R44" s="10"/>
      <c r="S44" s="11" t="s">
        <v>54</v>
      </c>
      <c r="T44" s="11" t="n">
        <v>0</v>
      </c>
      <c r="U44" s="8" t="n">
        <f aca="false">IF(S44="Y",C44*$B$4+T44,0)</f>
        <v>1</v>
      </c>
      <c r="V44" s="8" t="str">
        <f aca="false">IF(M44="Y",N44,G44)</f>
        <v>Texas Instruments</v>
      </c>
      <c r="W44" s="8" t="str">
        <f aca="false">IF(M44="Y",O44,H44)</f>
        <v>TPS7A0233PDBVR</v>
      </c>
      <c r="X44" s="8" t="str">
        <f aca="false">IF(M44="Y",P44,I44)</f>
        <v>296-TPS7A0233PDBVRCT-ND</v>
      </c>
      <c r="Y44" s="12" t="n">
        <f aca="false">U44*IF(M44="Y",R44,K44)</f>
        <v>0.84</v>
      </c>
      <c r="Z44" s="8"/>
      <c r="AA44" s="8" t="str">
        <f aca="false">IF(W44="","",HYPERLINK("https://www.digikey.com/en/products/result?keywords="&amp;W44,"open"))</f>
        <v>open</v>
      </c>
    </row>
    <row r="45" customFormat="false" ht="57.45" hidden="false" customHeight="false" outlineLevel="0" collapsed="false">
      <c r="A45" s="13" t="n">
        <v>38</v>
      </c>
      <c r="B45" s="13" t="s">
        <v>291</v>
      </c>
      <c r="C45" s="13" t="n">
        <v>1</v>
      </c>
      <c r="D45" s="13" t="s">
        <v>292</v>
      </c>
      <c r="E45" s="13" t="s">
        <v>293</v>
      </c>
      <c r="F45" s="13" t="s">
        <v>294</v>
      </c>
      <c r="G45" s="13" t="s">
        <v>272</v>
      </c>
      <c r="H45" s="13" t="s">
        <v>295</v>
      </c>
      <c r="I45" s="13" t="s">
        <v>296</v>
      </c>
      <c r="J45" s="14" t="n">
        <v>0</v>
      </c>
      <c r="K45" s="15" t="n">
        <v>6.51</v>
      </c>
      <c r="L45" s="13" t="n">
        <v>1</v>
      </c>
      <c r="M45" s="11" t="s">
        <v>53</v>
      </c>
      <c r="N45" s="13" t="s">
        <v>272</v>
      </c>
      <c r="O45" s="13" t="s">
        <v>297</v>
      </c>
      <c r="P45" s="13" t="s">
        <v>298</v>
      </c>
      <c r="Q45" s="14" t="n">
        <v>4278</v>
      </c>
      <c r="R45" s="15" t="n">
        <v>6.04</v>
      </c>
      <c r="S45" s="11" t="s">
        <v>54</v>
      </c>
      <c r="T45" s="11" t="n">
        <v>0</v>
      </c>
      <c r="U45" s="13" t="n">
        <f aca="false">IF(S45="Y",C45*$B$4+T45,0)</f>
        <v>1</v>
      </c>
      <c r="V45" s="13" t="str">
        <f aca="false">IF(M45="Y",N45,G45)</f>
        <v>STMicroelectronics</v>
      </c>
      <c r="W45" s="13" t="str">
        <f aca="false">IF(M45="Y",O45,H45)</f>
        <v>ST25R3916-AQWT</v>
      </c>
      <c r="X45" s="13" t="str">
        <f aca="false">IF(M45="Y",P45,I45)</f>
        <v>497-18366-1-ND</v>
      </c>
      <c r="Y45" s="16" t="n">
        <f aca="false">U45*IF(M45="Y",R45,K45)</f>
        <v>6.51</v>
      </c>
      <c r="Z45" s="13" t="s">
        <v>299</v>
      </c>
      <c r="AA45" s="13" t="str">
        <f aca="false">IF(W45="","",HYPERLINK("https://www.digikey.com/en/products/result?keywords="&amp;W45,"open"))</f>
        <v>open</v>
      </c>
    </row>
    <row r="46" customFormat="false" ht="23.85" hidden="false" customHeight="false" outlineLevel="0" collapsed="false">
      <c r="A46" s="8" t="n">
        <v>39</v>
      </c>
      <c r="B46" s="8" t="s">
        <v>300</v>
      </c>
      <c r="C46" s="8" t="n">
        <v>1</v>
      </c>
      <c r="D46" s="8" t="s">
        <v>301</v>
      </c>
      <c r="E46" s="8" t="s">
        <v>302</v>
      </c>
      <c r="F46" s="8" t="s">
        <v>303</v>
      </c>
      <c r="G46" s="8" t="s">
        <v>272</v>
      </c>
      <c r="H46" s="8" t="s">
        <v>304</v>
      </c>
      <c r="I46" s="8" t="s">
        <v>305</v>
      </c>
      <c r="J46" s="9" t="n">
        <v>39458</v>
      </c>
      <c r="K46" s="10" t="n">
        <v>0.71</v>
      </c>
      <c r="L46" s="8" t="n">
        <v>1</v>
      </c>
      <c r="M46" s="11" t="s">
        <v>53</v>
      </c>
      <c r="N46" s="8"/>
      <c r="O46" s="8"/>
      <c r="P46" s="8"/>
      <c r="Q46" s="9"/>
      <c r="R46" s="10"/>
      <c r="S46" s="11" t="s">
        <v>54</v>
      </c>
      <c r="T46" s="11" t="n">
        <v>0</v>
      </c>
      <c r="U46" s="8" t="n">
        <f aca="false">IF(S46="Y",C46*$B$4+T46,0)</f>
        <v>1</v>
      </c>
      <c r="V46" s="8" t="str">
        <f aca="false">IF(M46="Y",N46,G46)</f>
        <v>STMicroelectronics</v>
      </c>
      <c r="W46" s="8" t="str">
        <f aca="false">IF(M46="Y",O46,H46)</f>
        <v>USBLC6-2SC6Y</v>
      </c>
      <c r="X46" s="8" t="str">
        <f aca="false">IF(M46="Y",P46,I46)</f>
        <v>497-11882-1-ND</v>
      </c>
      <c r="Y46" s="12" t="n">
        <f aca="false">U46*IF(M46="Y",R46,K46)</f>
        <v>0.71</v>
      </c>
      <c r="Z46" s="8" t="s">
        <v>306</v>
      </c>
      <c r="AA46" s="8" t="str">
        <f aca="false">IF(W46="","",HYPERLINK("https://www.digikey.com/en/products/result?keywords="&amp;W46,"open"))</f>
        <v>open</v>
      </c>
    </row>
    <row r="47" customFormat="false" ht="23.85" hidden="false" customHeight="false" outlineLevel="0" collapsed="false">
      <c r="A47" s="13" t="n">
        <v>40</v>
      </c>
      <c r="B47" s="13" t="s">
        <v>307</v>
      </c>
      <c r="C47" s="13" t="n">
        <v>1</v>
      </c>
      <c r="D47" s="13" t="s">
        <v>308</v>
      </c>
      <c r="E47" s="13" t="s">
        <v>309</v>
      </c>
      <c r="F47" s="13" t="s">
        <v>310</v>
      </c>
      <c r="G47" s="13" t="s">
        <v>311</v>
      </c>
      <c r="H47" s="13" t="s">
        <v>312</v>
      </c>
      <c r="I47" s="13" t="s">
        <v>313</v>
      </c>
      <c r="J47" s="14" t="n">
        <v>15659</v>
      </c>
      <c r="K47" s="15" t="n">
        <v>0.46</v>
      </c>
      <c r="L47" s="13" t="n">
        <v>1</v>
      </c>
      <c r="M47" s="11" t="s">
        <v>53</v>
      </c>
      <c r="N47" s="13"/>
      <c r="O47" s="13"/>
      <c r="P47" s="13"/>
      <c r="Q47" s="14"/>
      <c r="R47" s="15"/>
      <c r="S47" s="11" t="s">
        <v>54</v>
      </c>
      <c r="T47" s="11" t="n">
        <v>0</v>
      </c>
      <c r="U47" s="13" t="n">
        <f aca="false">IF(S47="Y",C47*$B$4+T47,0)</f>
        <v>1</v>
      </c>
      <c r="V47" s="13" t="str">
        <f aca="false">IF(M47="Y",N47,G47)</f>
        <v>Abracon LLC</v>
      </c>
      <c r="W47" s="13" t="str">
        <f aca="false">IF(M47="Y",O47,H47)</f>
        <v>ABM8-27.120MHZ-10-D1G-T</v>
      </c>
      <c r="X47" s="13" t="str">
        <f aca="false">IF(M47="Y",P47,I47)</f>
        <v>535-14403-1-ND</v>
      </c>
      <c r="Y47" s="16" t="n">
        <f aca="false">U47*IF(M47="Y",R47,K47)</f>
        <v>0.46</v>
      </c>
      <c r="Z47" s="13" t="s">
        <v>314</v>
      </c>
      <c r="AA47" s="13" t="str">
        <f aca="false">IF(W47="","",HYPERLINK("https://www.digikey.com/en/products/result?keywords="&amp;W47,"open"))</f>
        <v>open</v>
      </c>
    </row>
    <row r="48" customFormat="false" ht="35.05" hidden="false" customHeight="false" outlineLevel="0" collapsed="false">
      <c r="A48" s="8" t="n">
        <v>41</v>
      </c>
      <c r="B48" s="8" t="s">
        <v>315</v>
      </c>
      <c r="C48" s="8" t="n">
        <v>1</v>
      </c>
      <c r="D48" s="8" t="s">
        <v>316</v>
      </c>
      <c r="E48" s="8" t="s">
        <v>317</v>
      </c>
      <c r="F48" s="8" t="s">
        <v>318</v>
      </c>
      <c r="G48" s="8" t="s">
        <v>311</v>
      </c>
      <c r="H48" s="8" t="s">
        <v>319</v>
      </c>
      <c r="I48" s="8" t="s">
        <v>320</v>
      </c>
      <c r="J48" s="9" t="n">
        <v>52806</v>
      </c>
      <c r="K48" s="10" t="n">
        <v>0.94</v>
      </c>
      <c r="L48" s="8" t="n">
        <v>1</v>
      </c>
      <c r="M48" s="11" t="s">
        <v>53</v>
      </c>
      <c r="N48" s="8"/>
      <c r="O48" s="8"/>
      <c r="P48" s="8"/>
      <c r="Q48" s="9"/>
      <c r="R48" s="10"/>
      <c r="S48" s="11" t="s">
        <v>54</v>
      </c>
      <c r="T48" s="11" t="n">
        <v>0</v>
      </c>
      <c r="U48" s="8" t="n">
        <f aca="false">IF(S48="Y",C48*$B$4+T48,0)</f>
        <v>1</v>
      </c>
      <c r="V48" s="8" t="str">
        <f aca="false">IF(M48="Y",N48,G48)</f>
        <v>Abracon LLC</v>
      </c>
      <c r="W48" s="8" t="str">
        <f aca="false">IF(M48="Y",O48,H48)</f>
        <v>ABS07-120-32.768KHZ-T</v>
      </c>
      <c r="X48" s="8" t="str">
        <f aca="false">IF(M48="Y",P48,I48)</f>
        <v>535-11937-1-ND</v>
      </c>
      <c r="Y48" s="12" t="n">
        <f aca="false">U48*IF(M48="Y",R48,K48)</f>
        <v>0.94</v>
      </c>
      <c r="Z48" s="8" t="s">
        <v>321</v>
      </c>
      <c r="AA48" s="8" t="str">
        <f aca="false">IF(W48="","",HYPERLINK("https://www.digikey.com/en/products/result?keywords="&amp;W48,"open"))</f>
        <v>open</v>
      </c>
    </row>
    <row r="49" customFormat="false" ht="23.85" hidden="false" customHeight="false" outlineLevel="0" collapsed="false">
      <c r="A49" s="13" t="n">
        <v>42</v>
      </c>
      <c r="B49" s="13" t="s">
        <v>322</v>
      </c>
      <c r="C49" s="13" t="n">
        <v>1</v>
      </c>
      <c r="D49" s="13" t="s">
        <v>323</v>
      </c>
      <c r="E49" s="13" t="s">
        <v>324</v>
      </c>
      <c r="F49" s="13" t="s">
        <v>325</v>
      </c>
      <c r="G49" s="13"/>
      <c r="H49" s="13"/>
      <c r="I49" s="13"/>
      <c r="J49" s="14"/>
      <c r="K49" s="15"/>
      <c r="L49" s="13"/>
      <c r="M49" s="11" t="s">
        <v>53</v>
      </c>
      <c r="N49" s="13"/>
      <c r="O49" s="13"/>
      <c r="P49" s="13"/>
      <c r="Q49" s="14"/>
      <c r="R49" s="15"/>
      <c r="S49" s="11" t="s">
        <v>53</v>
      </c>
      <c r="T49" s="11" t="n">
        <v>0</v>
      </c>
      <c r="U49" s="13" t="n">
        <f aca="false">IF(S49="Y",C49*$B$4+T49,0)</f>
        <v>0</v>
      </c>
      <c r="V49" s="13" t="n">
        <f aca="false">IF(M49="Y",N49,G49)</f>
        <v>0</v>
      </c>
      <c r="W49" s="13" t="n">
        <f aca="false">IF(M49="Y",O49,H49)</f>
        <v>0</v>
      </c>
      <c r="X49" s="13" t="n">
        <f aca="false">IF(M49="Y",P49,I49)</f>
        <v>0</v>
      </c>
      <c r="Y49" s="16" t="n">
        <f aca="false">U49*IF(M49="Y",R49,K49)</f>
        <v>0</v>
      </c>
      <c r="Z49" s="13" t="s">
        <v>326</v>
      </c>
      <c r="AA49" s="13" t="str">
        <f aca="false">IF(W49="","",HYPERLINK("https://www.digikey.com/en/products/result?keywords="&amp;W49,"open"))</f>
        <v/>
      </c>
    </row>
    <row r="50" customFormat="false" ht="15" hidden="false" customHeight="false" outlineLevel="0" collapsed="false">
      <c r="A50" s="8" t="n">
        <v>43</v>
      </c>
      <c r="B50" s="8" t="s">
        <v>327</v>
      </c>
      <c r="C50" s="8" t="n">
        <v>1</v>
      </c>
      <c r="D50" s="8" t="s">
        <v>328</v>
      </c>
      <c r="E50" s="8" t="s">
        <v>329</v>
      </c>
      <c r="F50" s="8"/>
      <c r="G50" s="8" t="s">
        <v>163</v>
      </c>
      <c r="H50" s="8" t="s">
        <v>328</v>
      </c>
      <c r="I50" s="8" t="s">
        <v>330</v>
      </c>
      <c r="J50" s="9" t="n">
        <v>74040</v>
      </c>
      <c r="K50" s="10" t="n">
        <v>0.1</v>
      </c>
      <c r="L50" s="8" t="n">
        <v>1</v>
      </c>
      <c r="M50" s="11" t="s">
        <v>53</v>
      </c>
      <c r="N50" s="8"/>
      <c r="O50" s="8"/>
      <c r="P50" s="8"/>
      <c r="Q50" s="9"/>
      <c r="R50" s="10"/>
      <c r="S50" s="11" t="s">
        <v>53</v>
      </c>
      <c r="T50" s="11" t="n">
        <v>1</v>
      </c>
      <c r="U50" s="8" t="n">
        <f aca="false">IF(S50="Y",C50*$B$4+T50,0)</f>
        <v>0</v>
      </c>
      <c r="V50" s="8" t="str">
        <f aca="false">IF(M50="Y",N50,G50)</f>
        <v>JST Sales America Inc.</v>
      </c>
      <c r="W50" s="8" t="str">
        <f aca="false">IF(M50="Y",O50,H50)</f>
        <v>XAP-02V-1</v>
      </c>
      <c r="X50" s="8" t="str">
        <f aca="false">IF(M50="Y",P50,I50)</f>
        <v>455-1903-ND</v>
      </c>
      <c r="Y50" s="12" t="n">
        <f aca="false">U50*IF(M50="Y",R50,K50)</f>
        <v>0</v>
      </c>
      <c r="Z50" s="8" t="s">
        <v>331</v>
      </c>
      <c r="AA50" s="8" t="str">
        <f aca="false">IF(W50="","",HYPERLINK("https://www.digikey.com/en/products/result?keywords="&amp;W50,"open"))</f>
        <v>open</v>
      </c>
    </row>
    <row r="51" customFormat="false" ht="23.85" hidden="false" customHeight="false" outlineLevel="0" collapsed="false">
      <c r="A51" s="13" t="n">
        <v>44</v>
      </c>
      <c r="B51" s="13" t="s">
        <v>327</v>
      </c>
      <c r="C51" s="13" t="n">
        <v>2</v>
      </c>
      <c r="D51" s="13" t="s">
        <v>332</v>
      </c>
      <c r="E51" s="13" t="s">
        <v>333</v>
      </c>
      <c r="F51" s="13"/>
      <c r="G51" s="13" t="s">
        <v>163</v>
      </c>
      <c r="H51" s="13" t="s">
        <v>332</v>
      </c>
      <c r="I51" s="13" t="s">
        <v>334</v>
      </c>
      <c r="J51" s="14" t="n">
        <v>112000</v>
      </c>
      <c r="K51" s="15" t="n">
        <v>0.018</v>
      </c>
      <c r="L51" s="13" t="n">
        <v>1</v>
      </c>
      <c r="M51" s="11" t="s">
        <v>53</v>
      </c>
      <c r="N51" s="13"/>
      <c r="O51" s="13"/>
      <c r="P51" s="13"/>
      <c r="Q51" s="14"/>
      <c r="R51" s="15"/>
      <c r="S51" s="11" t="s">
        <v>53</v>
      </c>
      <c r="T51" s="11" t="n">
        <v>2</v>
      </c>
      <c r="U51" s="13" t="n">
        <f aca="false">IF(S51="Y",C51*$B$4+T51,0)</f>
        <v>0</v>
      </c>
      <c r="V51" s="13" t="str">
        <f aca="false">IF(M51="Y",N51,G51)</f>
        <v>JST Sales America Inc.</v>
      </c>
      <c r="W51" s="13" t="str">
        <f aca="false">IF(M51="Y",O51,H51)</f>
        <v>SXA-001T-P0.6</v>
      </c>
      <c r="X51" s="13" t="str">
        <f aca="false">IF(M51="Y",P51,I51)</f>
        <v>455-1904TR-ND</v>
      </c>
      <c r="Y51" s="16" t="n">
        <f aca="false">U51*IF(M51="Y",R51,K51)</f>
        <v>0</v>
      </c>
      <c r="Z51" s="13" t="s">
        <v>335</v>
      </c>
      <c r="AA51" s="13" t="str">
        <f aca="false">IF(W51="","",HYPERLINK("https://www.digikey.com/en/products/result?keywords="&amp;W51,"open"))</f>
        <v>open</v>
      </c>
    </row>
    <row r="53" customFormat="false" ht="32.8" hidden="false" customHeight="false" outlineLevel="0" collapsed="false">
      <c r="X53" s="5" t="s">
        <v>336</v>
      </c>
      <c r="Y53" s="17" t="n">
        <f aca="false">SUM(Y8:Y51)</f>
        <v>34.475</v>
      </c>
      <c r="Z53" s="18" t="s">
        <v>337</v>
      </c>
    </row>
    <row r="54" customFormat="false" ht="15" hidden="false" customHeight="false" outlineLevel="0" collapsed="false">
      <c r="X54" s="19" t="s">
        <v>338</v>
      </c>
      <c r="Y54" s="19" t="n">
        <f aca="false">COUNTIF(U8:U51,"&gt;0")</f>
        <v>40</v>
      </c>
    </row>
  </sheetData>
  <autoFilter ref="A7:AA51"/>
  <conditionalFormatting sqref="J8:J51">
    <cfRule type="expression" priority="2" aboveAverage="0" equalAverage="0" bottom="0" percent="0" rank="0" text="" dxfId="7">
      <formula>AND($M8&lt;&gt;"Y",$S8="Y",J8&lt;$U8)</formula>
    </cfRule>
  </conditionalFormatting>
  <conditionalFormatting sqref="Q8:Q51">
    <cfRule type="expression" priority="3" aboveAverage="0" equalAverage="0" bottom="0" percent="0" rank="0" text="" dxfId="7">
      <formula>AND($M8="Y",$S8="Y",Q8&lt;$U8)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4" min="3" style="0" width="28"/>
    <col collapsed="false" customWidth="true" hidden="false" outlineLevel="0" max="5" min="5" style="0" width="45"/>
  </cols>
  <sheetData>
    <row r="1" customFormat="false" ht="15" hidden="false" customHeight="false" outlineLevel="0" collapsed="false">
      <c r="A1" s="20" t="s">
        <v>339</v>
      </c>
      <c r="B1" s="20" t="s">
        <v>340</v>
      </c>
      <c r="C1" s="20" t="s">
        <v>341</v>
      </c>
      <c r="D1" s="20" t="s">
        <v>25</v>
      </c>
      <c r="E1" s="20" t="s">
        <v>342</v>
      </c>
    </row>
    <row r="2" customFormat="false" ht="15" hidden="false" customHeight="false" outlineLevel="0" collapsed="false">
      <c r="A2" s="21" t="n">
        <f aca="false">BOM!U8</f>
        <v>15</v>
      </c>
      <c r="B2" s="21" t="str">
        <f aca="false">BOM!X8</f>
        <v>1276-1003-1-ND</v>
      </c>
      <c r="C2" s="21" t="str">
        <f aca="false">BOM!W8</f>
        <v>CL21B104KBCNNNC</v>
      </c>
      <c r="D2" s="21" t="str">
        <f aca="false">BOM!V8</f>
        <v>Samsung Electro-Mechanics</v>
      </c>
      <c r="E2" s="21" t="str">
        <f aca="false">BOM!B8</f>
        <v>C1,C3,C8,C11,C22,C23,C24,C25,C28,C29,C30,C34</v>
      </c>
    </row>
    <row r="3" customFormat="false" ht="15" hidden="false" customHeight="false" outlineLevel="0" collapsed="false">
      <c r="A3" s="21" t="n">
        <f aca="false">BOM!U9</f>
        <v>4</v>
      </c>
      <c r="B3" s="21" t="str">
        <f aca="false">BOM!X9</f>
        <v>1276-2415-1-ND</v>
      </c>
      <c r="C3" s="21" t="str">
        <f aca="false">BOM!W9</f>
        <v>CL21A475KACLRNC</v>
      </c>
      <c r="D3" s="21" t="str">
        <f aca="false">BOM!V9</f>
        <v>Samsung Electro-Mechanics</v>
      </c>
      <c r="E3" s="21" t="str">
        <f aca="false">BOM!B9</f>
        <v>C2,C35</v>
      </c>
    </row>
    <row r="4" customFormat="false" ht="15" hidden="false" customHeight="false" outlineLevel="0" collapsed="false">
      <c r="A4" s="21" t="n">
        <f aca="false">BOM!U10</f>
        <v>3</v>
      </c>
      <c r="B4" s="21" t="str">
        <f aca="false">BOM!X10</f>
        <v>1276-1015-1-ND</v>
      </c>
      <c r="C4" s="21" t="str">
        <f aca="false">BOM!W10</f>
        <v>CL21B103KBANNNC</v>
      </c>
      <c r="D4" s="21" t="str">
        <f aca="false">BOM!V10</f>
        <v>Samsung Electro-Mechanics</v>
      </c>
      <c r="E4" s="21" t="str">
        <f aca="false">BOM!B10</f>
        <v>C4</v>
      </c>
    </row>
    <row r="5" customFormat="false" ht="15" hidden="false" customHeight="false" outlineLevel="0" collapsed="false">
      <c r="A5" s="21" t="n">
        <f aca="false">BOM!U11</f>
        <v>4</v>
      </c>
      <c r="B5" s="21" t="str">
        <f aca="false">BOM!X11</f>
        <v>399-C0805C105K3RACTUCT-ND</v>
      </c>
      <c r="C5" s="21" t="str">
        <f aca="false">BOM!W11</f>
        <v>C0805C105K3RACTU</v>
      </c>
      <c r="D5" s="21" t="str">
        <f aca="false">BOM!V11</f>
        <v>KEMET</v>
      </c>
      <c r="E5" s="21" t="str">
        <f aca="false">BOM!B11</f>
        <v>C5,C33</v>
      </c>
    </row>
    <row r="6" customFormat="false" ht="15" hidden="false" customHeight="false" outlineLevel="0" collapsed="false">
      <c r="A6" s="21" t="n">
        <f aca="false">BOM!U12</f>
        <v>4</v>
      </c>
      <c r="B6" s="21" t="str">
        <f aca="false">BOM!X12</f>
        <v>399-C0805C829C5GACTUCT-ND</v>
      </c>
      <c r="C6" s="21" t="str">
        <f aca="false">BOM!W12</f>
        <v>C0805C829C5GACTU</v>
      </c>
      <c r="D6" s="21" t="str">
        <f aca="false">BOM!V12</f>
        <v>KEMET</v>
      </c>
      <c r="E6" s="21" t="str">
        <f aca="false">BOM!B12</f>
        <v>C6,C7</v>
      </c>
    </row>
    <row r="7" customFormat="false" ht="15" hidden="false" customHeight="false" outlineLevel="0" collapsed="false">
      <c r="A7" s="21" t="n">
        <f aca="false">BOM!U13</f>
        <v>4</v>
      </c>
      <c r="B7" s="21" t="str">
        <f aca="false">BOM!X13</f>
        <v>399-C0805C150J5GACTUCT-ND</v>
      </c>
      <c r="C7" s="21" t="str">
        <f aca="false">BOM!W13</f>
        <v>C0805C150J5GACTU</v>
      </c>
      <c r="D7" s="21" t="str">
        <f aca="false">BOM!V13</f>
        <v>KEMET</v>
      </c>
      <c r="E7" s="21" t="str">
        <f aca="false">BOM!B13</f>
        <v>C9,C10</v>
      </c>
    </row>
    <row r="8" customFormat="false" ht="15" hidden="false" customHeight="false" outlineLevel="0" collapsed="false">
      <c r="A8" s="21" t="n">
        <f aca="false">BOM!U14</f>
        <v>6</v>
      </c>
      <c r="B8" s="21" t="str">
        <f aca="false">BOM!X14</f>
        <v>399-C0805C151J5GACTUCT-ND</v>
      </c>
      <c r="C8" s="21" t="str">
        <f aca="false">BOM!W14</f>
        <v>C0805C151J5GACTU</v>
      </c>
      <c r="D8" s="21" t="str">
        <f aca="false">BOM!V14</f>
        <v>KEMET</v>
      </c>
      <c r="E8" s="21" t="str">
        <f aca="false">BOM!B14</f>
        <v>C12,C13,C38,C39</v>
      </c>
    </row>
    <row r="9" customFormat="false" ht="15" hidden="false" customHeight="false" outlineLevel="0" collapsed="false">
      <c r="A9" s="21" t="n">
        <f aca="false">BOM!U15</f>
        <v>4</v>
      </c>
      <c r="B9" s="21" t="str">
        <f aca="false">BOM!X15</f>
        <v>399-C0805C100J5GAC7800CT-ND</v>
      </c>
      <c r="C9" s="21" t="str">
        <f aca="false">BOM!W15</f>
        <v>C0805C100J5GACTU</v>
      </c>
      <c r="D9" s="21" t="str">
        <f aca="false">BOM!V15</f>
        <v>KEMET</v>
      </c>
      <c r="E9" s="21" t="str">
        <f aca="false">BOM!B15</f>
        <v>C15,C37</v>
      </c>
    </row>
    <row r="10" customFormat="false" ht="15" hidden="false" customHeight="false" outlineLevel="0" collapsed="false">
      <c r="A10" s="21" t="n">
        <f aca="false">BOM!U16</f>
        <v>6</v>
      </c>
      <c r="B10" s="21" t="str">
        <f aca="false">BOM!X16</f>
        <v>399-C0805C680J5GACTUCT-ND</v>
      </c>
      <c r="C10" s="21" t="str">
        <f aca="false">BOM!W16</f>
        <v>C0805C680J5GACTU</v>
      </c>
      <c r="D10" s="21" t="str">
        <f aca="false">BOM!V16</f>
        <v>KEMET</v>
      </c>
      <c r="E10" s="21" t="str">
        <f aca="false">BOM!B16</f>
        <v>C16,C17</v>
      </c>
    </row>
    <row r="11" customFormat="false" ht="15" hidden="false" customHeight="false" outlineLevel="0" collapsed="false">
      <c r="A11" s="21" t="n">
        <f aca="false">BOM!U17</f>
        <v>6</v>
      </c>
      <c r="B11" s="21" t="str">
        <f aca="false">BOM!X17</f>
        <v>399-C0805C271J5GACTUCT-ND</v>
      </c>
      <c r="C11" s="21" t="str">
        <f aca="false">BOM!W17</f>
        <v>C0805C271J5GACTU</v>
      </c>
      <c r="D11" s="21" t="str">
        <f aca="false">BOM!V17</f>
        <v>KEMET</v>
      </c>
      <c r="E11" s="21" t="str">
        <f aca="false">BOM!B17</f>
        <v>C18,C19</v>
      </c>
    </row>
    <row r="12" customFormat="false" ht="15" hidden="false" customHeight="false" outlineLevel="0" collapsed="false">
      <c r="A12" s="21" t="n">
        <f aca="false">BOM!U18</f>
        <v>4</v>
      </c>
      <c r="B12" s="21" t="str">
        <f aca="false">BOM!X18</f>
        <v>1276-2890-1-ND</v>
      </c>
      <c r="C12" s="21" t="str">
        <f aca="false">BOM!W18</f>
        <v>CL21A106KAFN3NE</v>
      </c>
      <c r="D12" s="21" t="str">
        <f aca="false">BOM!V18</f>
        <v>Samsung Electro-Mechanics</v>
      </c>
      <c r="E12" s="21" t="str">
        <f aca="false">BOM!B18</f>
        <v>C20,C21,C36</v>
      </c>
    </row>
    <row r="13" customFormat="false" ht="15" hidden="false" customHeight="false" outlineLevel="0" collapsed="false">
      <c r="A13" s="21" t="n">
        <f aca="false">BOM!U19</f>
        <v>6</v>
      </c>
      <c r="B13" s="21" t="str">
        <f aca="false">BOM!X19</f>
        <v>1276-2954-1-ND</v>
      </c>
      <c r="C13" s="21" t="str">
        <f aca="false">BOM!W19</f>
        <v>CL21B225KAFNNNE</v>
      </c>
      <c r="D13" s="21" t="str">
        <f aca="false">BOM!V19</f>
        <v>Samsung Electro-Mechanics</v>
      </c>
      <c r="E13" s="21" t="str">
        <f aca="false">BOM!B19</f>
        <v>C26,C27,C31,C32</v>
      </c>
    </row>
    <row r="14" customFormat="false" ht="15" hidden="false" customHeight="false" outlineLevel="0" collapsed="false">
      <c r="A14" s="21" t="n">
        <f aca="false">BOM!U20</f>
        <v>3</v>
      </c>
      <c r="B14" s="21" t="str">
        <f aca="false">BOM!X20</f>
        <v>160-1415-1-ND</v>
      </c>
      <c r="C14" s="21" t="str">
        <f aca="false">BOM!W20</f>
        <v>LTST-C170KRKT</v>
      </c>
      <c r="D14" s="21" t="str">
        <f aca="false">BOM!V20</f>
        <v>Lite-On Inc.</v>
      </c>
      <c r="E14" s="21" t="str">
        <f aca="false">BOM!B20</f>
        <v>D1,D5</v>
      </c>
    </row>
    <row r="15" customFormat="false" ht="15" hidden="false" customHeight="false" outlineLevel="0" collapsed="false">
      <c r="A15" s="21" t="n">
        <f aca="false">BOM!U21</f>
        <v>4</v>
      </c>
      <c r="B15" s="21" t="str">
        <f aca="false">BOM!X21</f>
        <v>160-1414-1-ND</v>
      </c>
      <c r="C15" s="21" t="str">
        <f aca="false">BOM!W21</f>
        <v>LTST-C170KGKT</v>
      </c>
      <c r="D15" s="21" t="str">
        <f aca="false">BOM!V21</f>
        <v>Lite-On Inc.</v>
      </c>
      <c r="E15" s="21" t="str">
        <f aca="false">BOM!B21</f>
        <v>D2,D3,D6</v>
      </c>
    </row>
    <row r="16" customFormat="false" ht="15" hidden="false" customHeight="false" outlineLevel="0" collapsed="false">
      <c r="A16" s="21" t="n">
        <f aca="false">BOM!U22</f>
        <v>1</v>
      </c>
      <c r="B16" s="21" t="str">
        <f aca="false">BOM!X22</f>
        <v>SS14-E3/61TGICT-ND</v>
      </c>
      <c r="C16" s="21" t="str">
        <f aca="false">BOM!W22</f>
        <v>SS14-E3/61T</v>
      </c>
      <c r="D16" s="21" t="str">
        <f aca="false">BOM!V22</f>
        <v>Vishay General Semiconductor</v>
      </c>
      <c r="E16" s="21" t="str">
        <f aca="false">BOM!B22</f>
        <v>D4</v>
      </c>
    </row>
    <row r="17" customFormat="false" ht="15" hidden="false" customHeight="false" outlineLevel="0" collapsed="false">
      <c r="A17" s="21" t="n">
        <f aca="false">BOM!U23</f>
        <v>4</v>
      </c>
      <c r="B17" s="21" t="str">
        <f aca="false">BOM!X23</f>
        <v>490-1006-1-ND</v>
      </c>
      <c r="C17" s="21" t="str">
        <f aca="false">BOM!W23</f>
        <v>BLM15AG601SN1D</v>
      </c>
      <c r="D17" s="21" t="str">
        <f aca="false">BOM!V23</f>
        <v>Murata Electronics</v>
      </c>
      <c r="E17" s="21" t="str">
        <f aca="false">BOM!B23</f>
        <v>FB1,FB2</v>
      </c>
    </row>
    <row r="18" customFormat="false" ht="15" hidden="false" customHeight="false" outlineLevel="0" collapsed="false">
      <c r="A18" s="21" t="n">
        <f aca="false">BOM!U24</f>
        <v>1</v>
      </c>
      <c r="B18" s="21" t="str">
        <f aca="false">BOM!X24</f>
        <v>2073-USB4110-GF-A-1-ND</v>
      </c>
      <c r="C18" s="21" t="str">
        <f aca="false">BOM!W24</f>
        <v>USB4110-GF-A</v>
      </c>
      <c r="D18" s="21" t="str">
        <f aca="false">BOM!V24</f>
        <v>GCT</v>
      </c>
      <c r="E18" s="21" t="str">
        <f aca="false">BOM!B24</f>
        <v>J1</v>
      </c>
    </row>
    <row r="19" customFormat="false" ht="15" hidden="false" customHeight="false" outlineLevel="0" collapsed="false">
      <c r="A19" s="21" t="n">
        <f aca="false">BOM!U25</f>
        <v>1</v>
      </c>
      <c r="B19" s="21" t="str">
        <f aca="false">BOM!X25</f>
        <v>455-B02B-XASK-1-ND</v>
      </c>
      <c r="C19" s="21" t="str">
        <f aca="false">BOM!W25</f>
        <v>B02B-XASK-1</v>
      </c>
      <c r="D19" s="21" t="str">
        <f aca="false">BOM!V25</f>
        <v>JST Sales America Inc.</v>
      </c>
      <c r="E19" s="21" t="str">
        <f aca="false">BOM!B25</f>
        <v>J2</v>
      </c>
    </row>
    <row r="20" customFormat="false" ht="15" hidden="false" customHeight="false" outlineLevel="0" collapsed="false">
      <c r="A20" s="21" t="n">
        <f aca="false">BOM!U26</f>
        <v>1</v>
      </c>
      <c r="B20" s="21" t="str">
        <f aca="false">BOM!X26</f>
        <v>35-PREC004SAAN-RC-ND</v>
      </c>
      <c r="C20" s="21" t="str">
        <f aca="false">BOM!W26</f>
        <v>PREC004SAAN-RC</v>
      </c>
      <c r="D20" s="21" t="str">
        <f aca="false">BOM!V26</f>
        <v>Sullins Connector Solutions</v>
      </c>
      <c r="E20" s="21" t="str">
        <f aca="false">BOM!B26</f>
        <v>J3</v>
      </c>
    </row>
    <row r="21" customFormat="false" ht="15" hidden="false" customHeight="false" outlineLevel="0" collapsed="false">
      <c r="A21" s="21" t="n">
        <f aca="false">BOM!U27</f>
        <v>1</v>
      </c>
      <c r="B21" s="21" t="str">
        <f aca="false">BOM!X27</f>
        <v>35-PREC002SAAN-RC-ND</v>
      </c>
      <c r="C21" s="21" t="str">
        <f aca="false">BOM!W27</f>
        <v>PREC002SAAN-RC</v>
      </c>
      <c r="D21" s="21" t="str">
        <f aca="false">BOM!V27</f>
        <v>Sullins Connector Solutions</v>
      </c>
      <c r="E21" s="21" t="str">
        <f aca="false">BOM!B27</f>
        <v>J4</v>
      </c>
    </row>
    <row r="22" customFormat="false" ht="15" hidden="false" customHeight="false" outlineLevel="0" collapsed="false">
      <c r="A22" s="21" t="n">
        <f aca="false">BOM!U29</f>
        <v>1</v>
      </c>
      <c r="B22" s="21" t="str">
        <f aca="false">BOM!X29</f>
        <v>S7006-ND</v>
      </c>
      <c r="C22" s="21" t="str">
        <f aca="false">BOM!W29</f>
        <v>PPTC081LFBN-RC</v>
      </c>
      <c r="D22" s="21" t="str">
        <f aca="false">BOM!V29</f>
        <v>Sullins Connector Solutions</v>
      </c>
      <c r="E22" s="21" t="str">
        <f aca="false">BOM!B29</f>
        <v>J7</v>
      </c>
    </row>
    <row r="23" customFormat="false" ht="15" hidden="false" customHeight="false" outlineLevel="0" collapsed="false">
      <c r="A23" s="21" t="n">
        <f aca="false">BOM!U30</f>
        <v>2</v>
      </c>
      <c r="B23" s="21" t="str">
        <f aca="false">BOM!X30</f>
        <v>2457-0805CS-471XJRC-ND</v>
      </c>
      <c r="C23" s="21" t="str">
        <f aca="false">BOM!W30</f>
        <v>0805CS-471XJRC</v>
      </c>
      <c r="D23" s="21" t="str">
        <f aca="false">BOM!V30</f>
        <v>Coilcraft</v>
      </c>
      <c r="E23" s="21" t="str">
        <f aca="false">BOM!B30</f>
        <v>L3,L4</v>
      </c>
    </row>
    <row r="24" customFormat="false" ht="15" hidden="false" customHeight="false" outlineLevel="0" collapsed="false">
      <c r="A24" s="21" t="n">
        <f aca="false">BOM!U31</f>
        <v>1</v>
      </c>
      <c r="B24" s="21" t="str">
        <f aca="false">BOM!X31</f>
        <v>785-1000-1-ND</v>
      </c>
      <c r="C24" s="21" t="str">
        <f aca="false">BOM!W31</f>
        <v>AO3400A</v>
      </c>
      <c r="D24" s="21" t="str">
        <f aca="false">BOM!V31</f>
        <v>Alpha &amp; Omega Semiconductor</v>
      </c>
      <c r="E24" s="21" t="str">
        <f aca="false">BOM!B31</f>
        <v>Q1</v>
      </c>
    </row>
    <row r="25" customFormat="false" ht="15" hidden="false" customHeight="false" outlineLevel="0" collapsed="false">
      <c r="A25" s="21" t="n">
        <f aca="false">BOM!U32</f>
        <v>4</v>
      </c>
      <c r="B25" s="21" t="str">
        <f aca="false">BOM!X32</f>
        <v>RMCF0805FT5K10CT-ND</v>
      </c>
      <c r="C25" s="21" t="str">
        <f aca="false">BOM!W32</f>
        <v>RMCF0805FT5K10</v>
      </c>
      <c r="D25" s="21" t="str">
        <f aca="false">BOM!V32</f>
        <v>Stackpole Electronics</v>
      </c>
      <c r="E25" s="21" t="str">
        <f aca="false">BOM!B32</f>
        <v>R1,R2</v>
      </c>
    </row>
    <row r="26" customFormat="false" ht="15" hidden="false" customHeight="false" outlineLevel="0" collapsed="false">
      <c r="A26" s="21" t="n">
        <f aca="false">BOM!U33</f>
        <v>7</v>
      </c>
      <c r="B26" s="21" t="str">
        <f aca="false">BOM!X33</f>
        <v>RMCF0805FT470RCT-ND</v>
      </c>
      <c r="C26" s="21" t="str">
        <f aca="false">BOM!W33</f>
        <v>RMCF0805FT470R</v>
      </c>
      <c r="D26" s="21" t="str">
        <f aca="false">BOM!V33</f>
        <v>Stackpole Electronics</v>
      </c>
      <c r="E26" s="21" t="str">
        <f aca="false">BOM!B33</f>
        <v>R3,R4,R5,R9,R10</v>
      </c>
    </row>
    <row r="27" customFormat="false" ht="15" hidden="false" customHeight="false" outlineLevel="0" collapsed="false">
      <c r="A27" s="21" t="n">
        <f aca="false">BOM!U34</f>
        <v>3</v>
      </c>
      <c r="B27" s="21" t="str">
        <f aca="false">BOM!X34</f>
        <v>RMCF0805FT1K00CT-ND</v>
      </c>
      <c r="C27" s="21" t="str">
        <f aca="false">BOM!W34</f>
        <v>RMCF0805FT1K00</v>
      </c>
      <c r="D27" s="21" t="str">
        <f aca="false">BOM!V34</f>
        <v>Stackpole Electronics</v>
      </c>
      <c r="E27" s="21" t="str">
        <f aca="false">BOM!B34</f>
        <v>R6</v>
      </c>
    </row>
    <row r="28" customFormat="false" ht="15" hidden="false" customHeight="false" outlineLevel="0" collapsed="false">
      <c r="A28" s="21" t="n">
        <f aca="false">BOM!U35</f>
        <v>7</v>
      </c>
      <c r="B28" s="21" t="str">
        <f aca="false">BOM!X35</f>
        <v>RMCF0805FT10K0CT-ND</v>
      </c>
      <c r="C28" s="21" t="str">
        <f aca="false">BOM!W35</f>
        <v>RMCF0805FT10K0</v>
      </c>
      <c r="D28" s="21" t="str">
        <f aca="false">BOM!V35</f>
        <v>Stackpole Electronics</v>
      </c>
      <c r="E28" s="21" t="str">
        <f aca="false">BOM!B35</f>
        <v>R7,R8,R11,R12,R20</v>
      </c>
    </row>
    <row r="29" customFormat="false" ht="15" hidden="false" customHeight="false" outlineLevel="0" collapsed="false">
      <c r="A29" s="21" t="n">
        <f aca="false">BOM!U36</f>
        <v>3</v>
      </c>
      <c r="B29" s="21" t="str">
        <f aca="false">BOM!X36</f>
        <v>RMCF0805FT1K50CT-ND</v>
      </c>
      <c r="C29" s="21" t="str">
        <f aca="false">BOM!W36</f>
        <v>RMCF0805FT1K50</v>
      </c>
      <c r="D29" s="21" t="str">
        <f aca="false">BOM!V36</f>
        <v>Stackpole Electronics</v>
      </c>
      <c r="E29" s="21" t="str">
        <f aca="false">BOM!B36</f>
        <v>R15</v>
      </c>
    </row>
    <row r="30" customFormat="false" ht="15" hidden="false" customHeight="false" outlineLevel="0" collapsed="false">
      <c r="A30" s="21" t="n">
        <f aca="false">BOM!U37</f>
        <v>5</v>
      </c>
      <c r="B30" s="21" t="str">
        <f aca="false">BOM!X37</f>
        <v>RMCF0805FT4M70CT-ND</v>
      </c>
      <c r="C30" s="21" t="str">
        <f aca="false">BOM!W37</f>
        <v>RMCF0805FT4M70</v>
      </c>
      <c r="D30" s="21" t="str">
        <f aca="false">BOM!V37</f>
        <v>Stackpole Electronics</v>
      </c>
      <c r="E30" s="21" t="str">
        <f aca="false">BOM!B37</f>
        <v>R16,R18,R19</v>
      </c>
    </row>
    <row r="31" customFormat="false" ht="15" hidden="false" customHeight="false" outlineLevel="0" collapsed="false">
      <c r="A31" s="21" t="n">
        <f aca="false">BOM!U38</f>
        <v>3</v>
      </c>
      <c r="B31" s="21" t="str">
        <f aca="false">BOM!X38</f>
        <v>RMCF0805FT2M70CT-ND</v>
      </c>
      <c r="C31" s="21" t="str">
        <f aca="false">BOM!W38</f>
        <v>RMCF0805FT2M70</v>
      </c>
      <c r="D31" s="21" t="str">
        <f aca="false">BOM!V38</f>
        <v>Stackpole Electronics</v>
      </c>
      <c r="E31" s="21" t="str">
        <f aca="false">BOM!B38</f>
        <v>R17</v>
      </c>
    </row>
    <row r="32" customFormat="false" ht="15" hidden="false" customHeight="false" outlineLevel="0" collapsed="false">
      <c r="A32" s="21" t="n">
        <f aca="false">BOM!U39</f>
        <v>4</v>
      </c>
      <c r="B32" s="21" t="str">
        <f aca="false">BOM!X39</f>
        <v>RMCF0805ZT0R00CT-ND</v>
      </c>
      <c r="C32" s="21" t="str">
        <f aca="false">BOM!W39</f>
        <v>RMCF0805ZT0R00</v>
      </c>
      <c r="D32" s="21" t="str">
        <f aca="false">BOM!V39</f>
        <v>Stackpole Electronics</v>
      </c>
      <c r="E32" s="21" t="str">
        <f aca="false">BOM!B39</f>
        <v>R21,R22</v>
      </c>
    </row>
    <row r="33" customFormat="false" ht="15" hidden="false" customHeight="false" outlineLevel="0" collapsed="false">
      <c r="A33" s="21" t="n">
        <f aca="false">BOM!U40</f>
        <v>3</v>
      </c>
      <c r="B33" s="21" t="str">
        <f aca="false">BOM!X40</f>
        <v>CKN12321-1-ND</v>
      </c>
      <c r="C33" s="21" t="str">
        <f aca="false">BOM!W40</f>
        <v>PTS636SM25SMTR LFS</v>
      </c>
      <c r="D33" s="21" t="str">
        <f aca="false">BOM!V40</f>
        <v>C&amp;K</v>
      </c>
      <c r="E33" s="21" t="str">
        <f aca="false">BOM!B40</f>
        <v>SW1,SW2,SW3</v>
      </c>
    </row>
    <row r="34" customFormat="false" ht="15" hidden="false" customHeight="false" outlineLevel="0" collapsed="false">
      <c r="A34" s="21" t="n">
        <f aca="false">BOM!U41</f>
        <v>1</v>
      </c>
      <c r="B34" s="21" t="str">
        <f aca="false">BOM!X41</f>
        <v>BC2301-ND</v>
      </c>
      <c r="C34" s="21" t="str">
        <f aca="false">BOM!W41</f>
        <v>NTCLE100E3103JB0</v>
      </c>
      <c r="D34" s="21" t="str">
        <f aca="false">BOM!V41</f>
        <v>Vishay BC Components</v>
      </c>
      <c r="E34" s="21" t="str">
        <f aca="false">BOM!B41</f>
        <v>TH1</v>
      </c>
    </row>
    <row r="35" customFormat="false" ht="15" hidden="false" customHeight="false" outlineLevel="0" collapsed="false">
      <c r="A35" s="21" t="n">
        <f aca="false">BOM!U42</f>
        <v>1</v>
      </c>
      <c r="B35" s="21" t="str">
        <f aca="false">BOM!X42</f>
        <v>497-STM32L432KCU6TRCT-ND</v>
      </c>
      <c r="C35" s="21" t="str">
        <f aca="false">BOM!W42</f>
        <v>STM32L432KCU6TR</v>
      </c>
      <c r="D35" s="21" t="str">
        <f aca="false">BOM!V42</f>
        <v>STMicroelectronics</v>
      </c>
      <c r="E35" s="21" t="str">
        <f aca="false">BOM!B42</f>
        <v>U1</v>
      </c>
    </row>
    <row r="36" customFormat="false" ht="15" hidden="false" customHeight="false" outlineLevel="0" collapsed="false">
      <c r="A36" s="21" t="n">
        <f aca="false">BOM!U43</f>
        <v>1</v>
      </c>
      <c r="B36" s="21" t="str">
        <f aca="false">BOM!X43</f>
        <v>MCP73833-AMI/UN-ND</v>
      </c>
      <c r="C36" s="21" t="str">
        <f aca="false">BOM!W43</f>
        <v>MCP73833-AMI/UN</v>
      </c>
      <c r="D36" s="21" t="str">
        <f aca="false">BOM!V43</f>
        <v>Microchip Technology</v>
      </c>
      <c r="E36" s="21" t="str">
        <f aca="false">BOM!B43</f>
        <v>U2</v>
      </c>
    </row>
    <row r="37" customFormat="false" ht="15" hidden="false" customHeight="false" outlineLevel="0" collapsed="false">
      <c r="A37" s="21" t="n">
        <f aca="false">BOM!U44</f>
        <v>1</v>
      </c>
      <c r="B37" s="21" t="str">
        <f aca="false">BOM!X44</f>
        <v>296-TPS7A0233PDBVRCT-ND</v>
      </c>
      <c r="C37" s="21" t="str">
        <f aca="false">BOM!W44</f>
        <v>TPS7A0233PDBVR</v>
      </c>
      <c r="D37" s="21" t="str">
        <f aca="false">BOM!V44</f>
        <v>Texas Instruments</v>
      </c>
      <c r="E37" s="21" t="str">
        <f aca="false">BOM!B44</f>
        <v>U3</v>
      </c>
    </row>
    <row r="38" customFormat="false" ht="15" hidden="false" customHeight="false" outlineLevel="0" collapsed="false">
      <c r="A38" s="21" t="n">
        <f aca="false">BOM!U45</f>
        <v>1</v>
      </c>
      <c r="B38" s="21" t="str">
        <f aca="false">BOM!X45</f>
        <v>497-18366-1-ND</v>
      </c>
      <c r="C38" s="21" t="str">
        <f aca="false">BOM!W45</f>
        <v>ST25R3916-AQWT</v>
      </c>
      <c r="D38" s="21" t="str">
        <f aca="false">BOM!V45</f>
        <v>STMicroelectronics</v>
      </c>
      <c r="E38" s="21" t="str">
        <f aca="false">BOM!B45</f>
        <v>U5</v>
      </c>
    </row>
    <row r="39" customFormat="false" ht="15" hidden="false" customHeight="false" outlineLevel="0" collapsed="false">
      <c r="A39" s="21" t="n">
        <f aca="false">BOM!U46</f>
        <v>1</v>
      </c>
      <c r="B39" s="21" t="str">
        <f aca="false">BOM!X46</f>
        <v>497-11882-1-ND</v>
      </c>
      <c r="C39" s="21" t="str">
        <f aca="false">BOM!W46</f>
        <v>USBLC6-2SC6Y</v>
      </c>
      <c r="D39" s="21" t="str">
        <f aca="false">BOM!V46</f>
        <v>STMicroelectronics</v>
      </c>
      <c r="E39" s="21" t="str">
        <f aca="false">BOM!B46</f>
        <v>U6</v>
      </c>
    </row>
    <row r="40" customFormat="false" ht="15" hidden="false" customHeight="false" outlineLevel="0" collapsed="false">
      <c r="A40" s="21" t="n">
        <f aca="false">BOM!U47</f>
        <v>1</v>
      </c>
      <c r="B40" s="21" t="str">
        <f aca="false">BOM!X47</f>
        <v>535-14403-1-ND</v>
      </c>
      <c r="C40" s="21" t="str">
        <f aca="false">BOM!W47</f>
        <v>ABM8-27.120MHZ-10-D1G-T</v>
      </c>
      <c r="D40" s="21" t="str">
        <f aca="false">BOM!V47</f>
        <v>Abracon LLC</v>
      </c>
      <c r="E40" s="21" t="str">
        <f aca="false">BOM!B47</f>
        <v>Y1</v>
      </c>
    </row>
    <row r="41" customFormat="false" ht="15" hidden="false" customHeight="false" outlineLevel="0" collapsed="false">
      <c r="A41" s="21" t="n">
        <f aca="false">BOM!U48</f>
        <v>1</v>
      </c>
      <c r="B41" s="21" t="str">
        <f aca="false">BOM!X48</f>
        <v>535-11937-1-ND</v>
      </c>
      <c r="C41" s="21" t="str">
        <f aca="false">BOM!W48</f>
        <v>ABS07-120-32.768KHZ-T</v>
      </c>
      <c r="D41" s="21" t="str">
        <f aca="false">BOM!V48</f>
        <v>Abracon LLC</v>
      </c>
      <c r="E41" s="21" t="str">
        <f aca="false">BOM!B48</f>
        <v>Y2</v>
      </c>
    </row>
    <row r="42" customFormat="false" ht="15" hidden="false" customHeight="false" outlineLevel="0" collapsed="false">
      <c r="A42" s="21" t="n">
        <f aca="false">BOM!U50</f>
        <v>0</v>
      </c>
      <c r="B42" s="21" t="str">
        <f aca="false">BOM!X50</f>
        <v>455-1903-ND</v>
      </c>
      <c r="C42" s="21" t="str">
        <f aca="false">BOM!W50</f>
        <v>XAP-02V-1</v>
      </c>
      <c r="D42" s="21" t="str">
        <f aca="false">BOM!V50</f>
        <v>JST Sales America Inc.</v>
      </c>
      <c r="E42" s="21" t="str">
        <f aca="false">BOM!B50</f>
        <v>(cable) J2 mate</v>
      </c>
    </row>
    <row r="43" customFormat="false" ht="15" hidden="false" customHeight="false" outlineLevel="0" collapsed="false">
      <c r="A43" s="21" t="n">
        <f aca="false">BOM!U51</f>
        <v>0</v>
      </c>
      <c r="B43" s="21" t="str">
        <f aca="false">BOM!X51</f>
        <v>455-1904TR-ND</v>
      </c>
      <c r="C43" s="21" t="str">
        <f aca="false">BOM!W51</f>
        <v>SXA-001T-P0.6</v>
      </c>
      <c r="D43" s="21" t="str">
        <f aca="false">BOM!V51</f>
        <v>JST Sales America Inc.</v>
      </c>
      <c r="E43" s="21" t="str">
        <f aca="false">BOM!B51</f>
        <v>(cable) J2 mate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2026-09-25T19:30:59Z</dcterms:created>
  <dc:creator>openpyxl</dc:creator>
  <dc:description/>
  <dc:language>en-US</dc:language>
  <cp:lastModifiedBy/>
  <dcterms:modified xsi:type="dcterms:W3CDTF">2026-09-25T19:30:59Z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