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ad_me" sheetId="1" state="visible" r:id="rId1"/>
    <sheet xmlns:r="http://schemas.openxmlformats.org/officeDocument/2006/relationships" name="BOM" sheetId="2" state="visible" r:id="rId2"/>
    <sheet xmlns:r="http://schemas.openxmlformats.org/officeDocument/2006/relationships" name="DigiKey_Upload" sheetId="3" state="visible" r:id="rId3"/>
  </sheets>
  <definedNames>
    <definedName name="_xlnm._FilterDatabase" localSheetId="1" hidden="1">'BOM'!$A$7:$AA$51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
      <name val="Arial"/>
      <charset val="1"/>
      <family val="0"/>
      <b val="1"/>
      <sz val="14"/>
    </font>
    <font>
      <name val="Arial"/>
      <charset val="1"/>
      <family val="0"/>
      <i val="1"/>
      <sz val="9"/>
    </font>
    <font>
      <name val="Arial"/>
      <charset val="1"/>
      <family val="0"/>
      <b val="1"/>
      <sz val="10"/>
    </font>
    <font>
      <name val="Arial"/>
      <charset val="1"/>
      <family val="0"/>
      <color rgb="FF0000FF"/>
      <sz val="10"/>
    </font>
    <font>
      <name val="Arial"/>
      <charset val="1"/>
      <family val="0"/>
      <b val="1"/>
      <color rgb="FFFFFFFF"/>
      <sz val="10"/>
    </font>
  </fonts>
  <fills count="5">
    <fill>
      <patternFill/>
    </fill>
    <fill>
      <patternFill patternType="gray125"/>
    </fill>
    <fill>
      <patternFill patternType="solid">
        <fgColor rgb="FFFFFF00"/>
        <bgColor rgb="FFFFFF00"/>
      </patternFill>
    </fill>
    <fill>
      <patternFill patternType="solid">
        <fgColor rgb="FF1F4E78"/>
        <bgColor rgb="FF003366"/>
      </patternFill>
    </fill>
    <fill>
      <patternFill patternType="solid">
        <fgColor rgb="FFEEF3F8"/>
        <bgColor rgb="FFFFFFFF"/>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3" borderId="1"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9" fillId="2" borderId="1" applyAlignment="1" pivotButton="0" quotePrefix="0" xfId="0">
      <alignment horizontal="center" vertical="top"/>
    </xf>
    <xf numFmtId="165" fontId="5" fillId="0" borderId="1" applyAlignment="1" pivotButton="0" quotePrefix="0" xfId="0">
      <alignment horizontal="general" vertical="top" wrapText="1"/>
    </xf>
    <xf numFmtId="0" fontId="5" fillId="4" borderId="1" applyAlignment="1" pivotButton="0" quotePrefix="0" xfId="0">
      <alignment horizontal="general" vertical="top" wrapText="1"/>
    </xf>
    <xf numFmtId="3" fontId="5" fillId="4" borderId="1" applyAlignment="1" pivotButton="0" quotePrefix="0" xfId="0">
      <alignment horizontal="general" vertical="top" wrapText="1"/>
    </xf>
    <xf numFmtId="164" fontId="5" fillId="4" borderId="1" applyAlignment="1" pivotButton="0" quotePrefix="0" xfId="0">
      <alignment horizontal="general" vertical="top" wrapText="1"/>
    </xf>
    <xf numFmtId="165" fontId="5" fillId="4" borderId="1" applyAlignment="1" pivotButton="0" quotePrefix="0" xfId="0">
      <alignment horizontal="general" vertical="top" wrapText="1"/>
    </xf>
    <xf numFmtId="165"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10" fillId="3" borderId="1"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3" borderId="1"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9" fillId="2" borderId="1" applyAlignment="1" pivotButton="0" quotePrefix="0" xfId="0">
      <alignment horizontal="center" vertical="top"/>
    </xf>
    <xf numFmtId="165" fontId="5" fillId="0" borderId="1" applyAlignment="1" pivotButton="0" quotePrefix="0" xfId="0">
      <alignment horizontal="general" vertical="top" wrapText="1"/>
    </xf>
    <xf numFmtId="0" fontId="5" fillId="4" borderId="1" applyAlignment="1" pivotButton="0" quotePrefix="0" xfId="0">
      <alignment horizontal="general" vertical="top" wrapText="1"/>
    </xf>
    <xf numFmtId="3" fontId="5" fillId="4" borderId="1" applyAlignment="1" pivotButton="0" quotePrefix="0" xfId="0">
      <alignment horizontal="general" vertical="top" wrapText="1"/>
    </xf>
    <xf numFmtId="164" fontId="5" fillId="4" borderId="1" applyAlignment="1" pivotButton="0" quotePrefix="0" xfId="0">
      <alignment horizontal="general" vertical="top" wrapText="1"/>
    </xf>
    <xf numFmtId="165" fontId="5" fillId="4" borderId="1" applyAlignment="1" pivotButton="0" quotePrefix="0" xfId="0">
      <alignment horizontal="general" vertical="top" wrapText="1"/>
    </xf>
    <xf numFmtId="165"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10" fillId="3" borderId="1" applyAlignment="1" pivotButton="0" quotePrefix="0" xfId="0">
      <alignment horizontal="general" vertical="bottom"/>
    </xf>
    <xf numFmtId="0" fontId="5"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78"/>
          <bgColor rgb="FF000000"/>
        </patternFill>
      </fill>
    </dxf>
    <dxf>
      <fill>
        <patternFill patternType="solid">
          <fgColor rgb="FFEEF3F8"/>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FFFF00"/>
          <bgColor rgb="FF000000"/>
        </patternFill>
      </fill>
    </dxf>
    <dxf>
      <fill>
        <patternFill patternType="solid">
          <fgColor rgb="FF0000FF"/>
          <bgColor rgb="FF000000"/>
        </patternFill>
      </fill>
    </dxf>
    <dxf>
      <font>
        <name val="Arial"/>
        <charset val="1"/>
        <family val="0"/>
        <b val="1"/>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C3D0"/>
      <rgbColor rgb="FF808080"/>
      <rgbColor rgb="FF9999FF"/>
      <rgbColor rgb="FF993366"/>
      <rgbColor rgb="FFEEF3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0" customWidth="1" style="22" min="1" max="1"/>
  </cols>
  <sheetData>
    <row r="1" ht="15" customHeight="1" s="23">
      <c r="A1" s="24" t="inlineStr">
        <is>
          <t>How to order</t>
        </is>
      </c>
    </row>
    <row r="2" ht="15" customHeight="1" s="23">
      <c r="A2" s="25" t="inlineStr">
        <is>
          <t>1. On the BOM sheet set "Boards to build" (B4) and review the yellow Use alternate / Include / Spares cells.</t>
        </is>
      </c>
    </row>
    <row r="3" ht="15" customHeight="1" s="23">
      <c r="A3" s="25" t="inlineStr">
        <is>
          <t>2. Open the DigiKey_Upload sheet. Delete rows whose Quantity is 0 (optional cable parts are off by default), then save it as CSV or copy the rows.</t>
        </is>
      </c>
    </row>
    <row r="4" ht="23.85" customHeight="1" s="23">
      <c r="A4" s="25" t="inlineStr">
        <is>
          <t>3. On digikey.com use BOM Manager (Upload a BOM) or Cart &gt; Quick Add &gt; "Upload a list", and map: Quantity, Digi-Key Part Number, Customer Reference. digikey_upload_1_board.csv (next to this workbook) is the same list for 1 board with the default choices.</t>
        </is>
      </c>
    </row>
    <row r="5" ht="15" customHeight="1" s="23">
      <c r="A5" s="25" t="inlineStr">
        <is>
          <t>4. Red stock figures on the BOM sheet mean the chosen part has less stock than you are ordering.</t>
        </is>
      </c>
    </row>
    <row r="6" ht="15" customHeight="1" s="23">
      <c r="A6" s="25" t="n"/>
    </row>
    <row r="7" ht="15" customHeight="1" s="23">
      <c r="A7" s="24" t="inlineStr">
        <is>
          <t>Decisions before ordering</t>
        </is>
      </c>
    </row>
    <row r="8" ht="35.05" customHeight="1" s="23">
      <c r="A8" s="25" t="inlineStr">
        <is>
          <t>U5, NFC reader: ST25R3916-AQWT is out of stock at Digi-Key (the ST25R3916B is not due until 2028). The in-stock ST25R3917-AQWT is pin-compatible but has no capacitive-sensor wake-up, no automatic antenna tuning and no card emulation. It works for this reader if the firmware uses inductive wake-up and J5/J6 stay unconnected. Set U5 "Use alternate" = Y to order it, or source the ST25R3916 elsewhere.</t>
        </is>
      </c>
    </row>
    <row r="9" ht="23.85" customHeight="1" s="23">
      <c r="A9" s="25" t="inlineStr">
        <is>
          <t>Y2 + C6/C7, 32.768 kHz: no 4 pF-load 3.2x1.5 mm crystal is stocked, so Y2 is a 6 pF part and C6/C7 were changed to 8.2 pF in the schematic (2026-09-26).</t>
        </is>
      </c>
    </row>
    <row r="10" ht="15" customHeight="1" s="23">
      <c r="A10" s="25" t="inlineStr">
        <is>
          <t>R6, charge current: 1 kΩ sets 1 A, above the 500 mA a USB-C sink with 5.1 kΩ CC resistors may draw. The 2 kΩ alternate gives 500 mA.</t>
        </is>
      </c>
    </row>
    <row r="11" ht="15" customHeight="1" s="23">
      <c r="A11" s="25" t="inlineStr">
        <is>
          <t>C20/C21/C36, 10 µF: only 178 of the Samsung part are in stock; switch to the Yageo alternate if that runs out.</t>
        </is>
      </c>
    </row>
    <row r="12" ht="15" customHeight="1" s="23">
      <c r="A12" s="25" t="n"/>
    </row>
    <row r="13" ht="15" customHeight="1" s="23">
      <c r="A13" s="24" t="inlineStr">
        <is>
          <t>Not included</t>
        </is>
      </c>
    </row>
    <row r="14" ht="23.85" customHeight="1" s="23">
      <c r="A14" s="25" t="inlineStr">
        <is>
          <t>The PCB itself, the Li-ion cell (with a JST XA plug), the vibration motor, the optional PN532 breakout module, solder paste and a JST XA crimp tool. J5/J6 (solder pads) and AE3 (etched antenna) are PCB features, not parts.</t>
        </is>
      </c>
    </row>
    <row r="15" ht="15" customHeight="1" s="23">
      <c r="A15" s="25" t="n"/>
    </row>
    <row r="16" ht="15" customHeight="1" s="23">
      <c r="A16" s="24" t="inlineStr">
        <is>
          <t>Substitutions made against the first choice (all checked on digikey.com)</t>
        </is>
      </c>
    </row>
    <row r="17" ht="35.05" customHeight="1" s="23">
      <c r="A17" s="25" t="inlineStr">
        <is>
          <t>USBLC6-2SC6 is back-ordered, so the BOM uses USBLC6-2SC6Y. U1 is the 128 kB STM32L432KBU6 (2026-10-07); its Digi-Key number, stock and price have not been looked up, so search the MPN before ordering. Samsung CL21A475KAQNNNE (4.7 µF), CL21B105K (1 µF), CL21A106K (10 µF) and CL21C150J (15 pF, obsolete) and Yageo RC0805FR-075K1L (5.1 kΩ) are out of stock or obsolete, so the listed KEMET, Samsung, Yageo and Stackpole parts replace them.</t>
        </is>
      </c>
    </row>
    <row r="18" ht="15" customHeight="1" s="23">
      <c r="A18" s="25" t="inlineStr">
        <is>
          <t>Checked 2026-09-26. Each row has a Digi-Key search link (column AA) for re-checking stock and price.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A54"/>
  <sheetViews>
    <sheetView showFormulas="0" showGridLines="1" showRowColHeaders="1" showZeros="1" rightToLeft="0" tabSelected="1"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customHeight="0" zeroHeight="0" outlineLevelRow="0"/>
  <cols>
    <col width="5" customWidth="1" style="22" min="1" max="1"/>
    <col width="30" customWidth="1" style="22" min="2" max="2"/>
    <col width="7" customWidth="1" style="22" min="3" max="3"/>
    <col width="12" customWidth="1" style="22" min="4" max="4"/>
    <col width="40" customWidth="1" style="22" min="5" max="5"/>
    <col width="16" customWidth="1" style="22" min="6" max="6"/>
    <col width="22" customWidth="1" style="22" min="7" max="7"/>
    <col width="24" customWidth="1" style="22" min="8" max="8"/>
    <col width="27" customWidth="1" style="22" min="9" max="9"/>
    <col width="11" customWidth="1" style="22" min="10" max="10"/>
    <col width="9" customWidth="1" style="22" min="11" max="11"/>
    <col width="7" customWidth="1" style="22" min="12" max="12"/>
    <col width="9" customWidth="1" style="22" min="13" max="13"/>
    <col width="18" customWidth="1" style="22" min="14" max="14"/>
    <col width="22" customWidth="1" style="22" min="15" max="15"/>
    <col width="26" customWidth="1" style="22" min="16" max="16"/>
    <col width="10" customWidth="1" style="22" min="17" max="17"/>
    <col width="9" customWidth="1" style="22" min="18" max="18"/>
    <col width="8" customWidth="1" style="22" min="19" max="19"/>
    <col width="7" customWidth="1" style="22" min="20" max="20"/>
    <col width="8" customWidth="1" style="22" min="21" max="21"/>
    <col width="22" customWidth="1" style="22" min="22" max="22"/>
    <col width="24" customWidth="1" style="22" min="23" max="23"/>
    <col width="27" customWidth="1" style="22" min="24" max="24"/>
    <col width="10" customWidth="1" style="22" min="25" max="25"/>
    <col width="60" customWidth="1" style="22" min="26" max="26"/>
    <col width="12" customWidth="1" style="22" min="27" max="27"/>
  </cols>
  <sheetData>
    <row r="1" ht="17.35" customHeight="1" s="23">
      <c r="A1" s="26" t="inlineStr">
        <is>
          <t>Card Attendance System: Bill of Materials (Digi-Key)</t>
        </is>
      </c>
    </row>
    <row r="2" ht="15" customHeight="1" s="23">
      <c r="A2" s="27" t="inlineStr">
        <is>
          <t>Source: PCB/Attendance Management System.kicad_sch. Part numbers, stock and prices read from digikey.com on 2026-09-26; stock and prices change daily, so re-check before ordering.</t>
        </is>
      </c>
    </row>
    <row r="4" ht="15" customHeight="1" s="23">
      <c r="A4" s="28" t="inlineStr">
        <is>
          <t>Boards to build</t>
        </is>
      </c>
      <c r="B4" s="29" t="n">
        <v>1</v>
      </c>
    </row>
    <row r="5" ht="15" customHeight="1" s="23">
      <c r="A5" s="27" t="inlineStr">
        <is>
          <t>Edit only the yellow cells: Boards to build, Use alternate (Y/N), Include (Y/N), Spares. Order qty, the part to order and the cost are formulas.</t>
        </is>
      </c>
    </row>
    <row r="7" ht="42" customHeight="1" s="23">
      <c r="A7" s="30" t="inlineStr">
        <is>
          <t>Item</t>
        </is>
      </c>
      <c r="B7" s="30" t="inlineStr">
        <is>
          <t>Designators</t>
        </is>
      </c>
      <c r="C7" s="30" t="inlineStr">
        <is>
          <t>Qty / board</t>
        </is>
      </c>
      <c r="D7" s="30" t="inlineStr">
        <is>
          <t>Value</t>
        </is>
      </c>
      <c r="E7" s="30" t="inlineStr">
        <is>
          <t>Description</t>
        </is>
      </c>
      <c r="F7" s="30" t="inlineStr">
        <is>
          <t>Package</t>
        </is>
      </c>
      <c r="G7" s="30" t="inlineStr">
        <is>
          <t>Manufacturer</t>
        </is>
      </c>
      <c r="H7" s="30" t="inlineStr">
        <is>
          <t>MPN</t>
        </is>
      </c>
      <c r="I7" s="30" t="inlineStr">
        <is>
          <t>Digi-Key PN</t>
        </is>
      </c>
      <c r="J7" s="30" t="inlineStr">
        <is>
          <t>DK stock (2026-09-26)</t>
        </is>
      </c>
      <c r="K7" s="30" t="inlineStr">
        <is>
          <t>Unit price (USD)</t>
        </is>
      </c>
      <c r="L7" s="30" t="inlineStr">
        <is>
          <t>Price at qty</t>
        </is>
      </c>
      <c r="M7" s="30" t="inlineStr">
        <is>
          <t>Use alternate (Y/N)</t>
        </is>
      </c>
      <c r="N7" s="30" t="inlineStr">
        <is>
          <t>Alt. manufacturer</t>
        </is>
      </c>
      <c r="O7" s="30" t="inlineStr">
        <is>
          <t>Alt. MPN</t>
        </is>
      </c>
      <c r="P7" s="30" t="inlineStr">
        <is>
          <t>Alt. Digi-Key PN</t>
        </is>
      </c>
      <c r="Q7" s="30" t="inlineStr">
        <is>
          <t>Alt. DK stock</t>
        </is>
      </c>
      <c r="R7" s="30" t="inlineStr">
        <is>
          <t>Alt. unit price (USD)</t>
        </is>
      </c>
      <c r="S7" s="30" t="inlineStr">
        <is>
          <t>Include (Y/N)</t>
        </is>
      </c>
      <c r="T7" s="30" t="inlineStr">
        <is>
          <t>Spares</t>
        </is>
      </c>
      <c r="U7" s="30" t="inlineStr">
        <is>
          <t>Order qty</t>
        </is>
      </c>
      <c r="V7" s="30" t="inlineStr">
        <is>
          <t>Order: manufacturer</t>
        </is>
      </c>
      <c r="W7" s="30" t="inlineStr">
        <is>
          <t>Order: MPN</t>
        </is>
      </c>
      <c r="X7" s="30" t="inlineStr">
        <is>
          <t>Order: Digi-Key PN</t>
        </is>
      </c>
      <c r="Y7" s="30" t="inlineStr">
        <is>
          <t>Est. cost (USD)</t>
        </is>
      </c>
      <c r="Z7" s="30" t="inlineStr">
        <is>
          <t>Notes</t>
        </is>
      </c>
      <c r="AA7" s="30" t="inlineStr">
        <is>
          <t>Digi-Key link</t>
        </is>
      </c>
    </row>
    <row r="8" ht="23.85" customHeight="1" s="23">
      <c r="A8" s="31" t="n">
        <v>1</v>
      </c>
      <c r="B8" s="31" t="inlineStr">
        <is>
          <t>C1,C3,C8,C11,C22,C23,C24,C25,C28,C29,C30,C34</t>
        </is>
      </c>
      <c r="C8" s="31" t="n">
        <v>12</v>
      </c>
      <c r="D8" s="31" t="inlineStr">
        <is>
          <t>100n</t>
        </is>
      </c>
      <c r="E8" s="31" t="inlineStr">
        <is>
          <t>Capacitor, ceramic, 100 nF 50 V X7R ±10%</t>
        </is>
      </c>
      <c r="F8" s="31" t="inlineStr">
        <is>
          <t>0805</t>
        </is>
      </c>
      <c r="G8" s="31" t="inlineStr">
        <is>
          <t>Samsung Electro-Mechanics</t>
        </is>
      </c>
      <c r="H8" s="31" t="inlineStr">
        <is>
          <t>CL21B104KBCNNNC</t>
        </is>
      </c>
      <c r="I8" s="31" t="inlineStr">
        <is>
          <t>1276-1003-1-ND</t>
        </is>
      </c>
      <c r="J8" s="32" t="n">
        <v>4581382</v>
      </c>
      <c r="K8" s="33" t="n">
        <v>0.045</v>
      </c>
      <c r="L8" s="31" t="n">
        <v>10</v>
      </c>
      <c r="M8" s="34" t="inlineStr">
        <is>
          <t>N</t>
        </is>
      </c>
      <c r="N8" s="31" t="n"/>
      <c r="O8" s="31" t="n"/>
      <c r="P8" s="31" t="n"/>
      <c r="Q8" s="32" t="n"/>
      <c r="R8" s="33" t="n"/>
      <c r="S8" s="34" t="inlineStr">
        <is>
          <t>Y</t>
        </is>
      </c>
      <c r="T8" s="34" t="n">
        <v>3</v>
      </c>
      <c r="U8" s="31">
        <f>IF(S8="Y",C8*$B$4+T8,0)</f>
        <v/>
      </c>
      <c r="V8" s="31">
        <f>IF(M8="Y",N8,G8)&amp;""</f>
        <v/>
      </c>
      <c r="W8" s="31">
        <f>IF(M8="Y",O8,H8)&amp;""</f>
        <v/>
      </c>
      <c r="X8" s="31">
        <f>IF(M8="Y",P8,I8)&amp;""</f>
        <v/>
      </c>
      <c r="Y8" s="35">
        <f>U8*IF(M8="Y",R8,K8)</f>
        <v/>
      </c>
      <c r="Z8" s="31" t="inlineStr">
        <is>
          <t>Schematic asks X7R 16 V; 50 V part has less DC-bias loss.</t>
        </is>
      </c>
      <c r="AA8" s="31">
        <f>IF(W8="","",HYPERLINK("https://www.digikey.com/en/products/result?keywords="&amp;W8,"open"))</f>
        <v/>
      </c>
    </row>
    <row r="9" ht="23.85" customHeight="1" s="23">
      <c r="A9" s="36" t="n">
        <v>2</v>
      </c>
      <c r="B9" s="36" t="inlineStr">
        <is>
          <t>C2,C35</t>
        </is>
      </c>
      <c r="C9" s="36" t="n">
        <v>2</v>
      </c>
      <c r="D9" s="36" t="inlineStr">
        <is>
          <t>4.7u</t>
        </is>
      </c>
      <c r="E9" s="36" t="inlineStr">
        <is>
          <t>Capacitor, ceramic, 4.7 µF 25 V X5R ±10%</t>
        </is>
      </c>
      <c r="F9" s="36" t="inlineStr">
        <is>
          <t>0805</t>
        </is>
      </c>
      <c r="G9" s="36" t="inlineStr">
        <is>
          <t>Samsung Electro-Mechanics</t>
        </is>
      </c>
      <c r="H9" s="36" t="inlineStr">
        <is>
          <t>CL21A475KACLRNC</t>
        </is>
      </c>
      <c r="I9" s="36" t="inlineStr">
        <is>
          <t>1276-2415-1-ND</t>
        </is>
      </c>
      <c r="J9" s="37" t="n">
        <v>190853</v>
      </c>
      <c r="K9" s="38" t="n">
        <v>0.137</v>
      </c>
      <c r="L9" s="36" t="n">
        <v>10</v>
      </c>
      <c r="M9" s="34" t="inlineStr">
        <is>
          <t>N</t>
        </is>
      </c>
      <c r="N9" s="36" t="n"/>
      <c r="O9" s="36" t="n"/>
      <c r="P9" s="36" t="n"/>
      <c r="Q9" s="37" t="n"/>
      <c r="R9" s="38" t="n"/>
      <c r="S9" s="34" t="inlineStr">
        <is>
          <t>Y</t>
        </is>
      </c>
      <c r="T9" s="34" t="n">
        <v>2</v>
      </c>
      <c r="U9" s="36">
        <f>IF(S9="Y",C9*$B$4+T9,0)</f>
        <v/>
      </c>
      <c r="V9" s="36">
        <f>IF(M9="Y",N9,G9)&amp;""</f>
        <v/>
      </c>
      <c r="W9" s="36">
        <f>IF(M9="Y",O9,H9)&amp;""</f>
        <v/>
      </c>
      <c r="X9" s="36">
        <f>IF(M9="Y",P9,I9)&amp;""</f>
        <v/>
      </c>
      <c r="Y9" s="39">
        <f>U9*IF(M9="Y",R9,K9)</f>
        <v/>
      </c>
      <c r="Z9" s="36" t="inlineStr">
        <is>
          <t>Covers C2 (10 V) and C35 (16 V) with one 25 V part. CL21A475KAQNNNE is out of stock.</t>
        </is>
      </c>
      <c r="AA9" s="36">
        <f>IF(W9="","",HYPERLINK("https://www.digikey.com/en/products/result?keywords="&amp;W9,"open"))</f>
        <v/>
      </c>
    </row>
    <row r="10" ht="23.85" customHeight="1" s="23">
      <c r="A10" s="31" t="n">
        <v>3</v>
      </c>
      <c r="B10" s="31" t="inlineStr">
        <is>
          <t>C4</t>
        </is>
      </c>
      <c r="C10" s="31" t="n">
        <v>1</v>
      </c>
      <c r="D10" s="31" t="inlineStr">
        <is>
          <t>10n</t>
        </is>
      </c>
      <c r="E10" s="31" t="inlineStr">
        <is>
          <t>Capacitor, ceramic, 10 nF 50 V X7R ±10%</t>
        </is>
      </c>
      <c r="F10" s="31" t="inlineStr">
        <is>
          <t>0805</t>
        </is>
      </c>
      <c r="G10" s="31" t="inlineStr">
        <is>
          <t>Samsung Electro-Mechanics</t>
        </is>
      </c>
      <c r="H10" s="31" t="inlineStr">
        <is>
          <t>CL21B103KBANNNC</t>
        </is>
      </c>
      <c r="I10" s="31" t="inlineStr">
        <is>
          <t>1276-1015-1-ND</t>
        </is>
      </c>
      <c r="J10" s="32" t="n">
        <v>2107628</v>
      </c>
      <c r="K10" s="33" t="n">
        <v>0.044</v>
      </c>
      <c r="L10" s="31" t="n">
        <v>10</v>
      </c>
      <c r="M10" s="34" t="inlineStr">
        <is>
          <t>N</t>
        </is>
      </c>
      <c r="N10" s="31" t="n"/>
      <c r="O10" s="31" t="n"/>
      <c r="P10" s="31" t="n"/>
      <c r="Q10" s="32" t="n"/>
      <c r="R10" s="33" t="n"/>
      <c r="S10" s="34" t="inlineStr">
        <is>
          <t>Y</t>
        </is>
      </c>
      <c r="T10" s="34" t="n">
        <v>2</v>
      </c>
      <c r="U10" s="31">
        <f>IF(S10="Y",C10*$B$4+T10,0)</f>
        <v/>
      </c>
      <c r="V10" s="31">
        <f>IF(M10="Y",N10,G10)&amp;""</f>
        <v/>
      </c>
      <c r="W10" s="31">
        <f>IF(M10="Y",O10,H10)&amp;""</f>
        <v/>
      </c>
      <c r="X10" s="31">
        <f>IF(M10="Y",P10,I10)&amp;""</f>
        <v/>
      </c>
      <c r="Y10" s="35">
        <f>U10*IF(M10="Y",R10,K10)</f>
        <v/>
      </c>
      <c r="Z10" s="31" t="n"/>
      <c r="AA10" s="31">
        <f>IF(W10="","",HYPERLINK("https://www.digikey.com/en/products/result?keywords="&amp;W10,"open"))</f>
        <v/>
      </c>
    </row>
    <row r="11" ht="23.85" customHeight="1" s="23">
      <c r="A11" s="36" t="n">
        <v>4</v>
      </c>
      <c r="B11" s="36" t="inlineStr">
        <is>
          <t>C5,C33</t>
        </is>
      </c>
      <c r="C11" s="36" t="n">
        <v>2</v>
      </c>
      <c r="D11" s="36" t="inlineStr">
        <is>
          <t>1u</t>
        </is>
      </c>
      <c r="E11" s="36" t="inlineStr">
        <is>
          <t>Capacitor, ceramic, 1 µF 25 V X7R ±10%</t>
        </is>
      </c>
      <c r="F11" s="36" t="inlineStr">
        <is>
          <t>0805</t>
        </is>
      </c>
      <c r="G11" s="36" t="inlineStr">
        <is>
          <t>KEMET</t>
        </is>
      </c>
      <c r="H11" s="36" t="inlineStr">
        <is>
          <t>C0805C105K3RACTU</t>
        </is>
      </c>
      <c r="I11" s="36" t="inlineStr">
        <is>
          <t>399-C0805C105K3RACTUCT-ND</t>
        </is>
      </c>
      <c r="J11" s="37" t="n">
        <v>373194</v>
      </c>
      <c r="K11" s="38" t="n">
        <v>0.109</v>
      </c>
      <c r="L11" s="36" t="n">
        <v>10</v>
      </c>
      <c r="M11" s="34" t="inlineStr">
        <is>
          <t>N</t>
        </is>
      </c>
      <c r="N11" s="36" t="n"/>
      <c r="O11" s="36" t="n"/>
      <c r="P11" s="36" t="n"/>
      <c r="Q11" s="37" t="n"/>
      <c r="R11" s="38" t="n"/>
      <c r="S11" s="34" t="inlineStr">
        <is>
          <t>Y</t>
        </is>
      </c>
      <c r="T11" s="34" t="n">
        <v>2</v>
      </c>
      <c r="U11" s="36">
        <f>IF(S11="Y",C11*$B$4+T11,0)</f>
        <v/>
      </c>
      <c r="V11" s="36">
        <f>IF(M11="Y",N11,G11)&amp;""</f>
        <v/>
      </c>
      <c r="W11" s="36">
        <f>IF(M11="Y",O11,H11)&amp;""</f>
        <v/>
      </c>
      <c r="X11" s="36">
        <f>IF(M11="Y",P11,I11)&amp;""</f>
        <v/>
      </c>
      <c r="Y11" s="39">
        <f>U11*IF(M11="Y",R11,K11)</f>
        <v/>
      </c>
      <c r="Z11" s="36" t="inlineStr">
        <is>
          <t>Samsung CL21B105K parts are out of stock.</t>
        </is>
      </c>
      <c r="AA11" s="36">
        <f>IF(W11="","",HYPERLINK("https://www.digikey.com/en/products/result?keywords="&amp;W11,"open"))</f>
        <v/>
      </c>
    </row>
    <row r="12" ht="35.05" customHeight="1" s="23">
      <c r="A12" s="31" t="n">
        <v>5</v>
      </c>
      <c r="B12" s="31" t="inlineStr">
        <is>
          <t>C6,C7</t>
        </is>
      </c>
      <c r="C12" s="31" t="n">
        <v>2</v>
      </c>
      <c r="D12" s="31" t="inlineStr">
        <is>
          <t>8.2p</t>
        </is>
      </c>
      <c r="E12" s="31" t="inlineStr">
        <is>
          <t>Capacitor, ceramic, 8.2 pF 50 V C0G ±0.25 pF (LSE load caps)</t>
        </is>
      </c>
      <c r="F12" s="31" t="inlineStr">
        <is>
          <t>0805</t>
        </is>
      </c>
      <c r="G12" s="31" t="inlineStr">
        <is>
          <t>KEMET</t>
        </is>
      </c>
      <c r="H12" s="31" t="inlineStr">
        <is>
          <t>C0805C829C5GACTU</t>
        </is>
      </c>
      <c r="I12" s="31" t="inlineStr">
        <is>
          <t>399-C0805C829C5GACTUCT-ND</t>
        </is>
      </c>
      <c r="J12" s="32" t="n">
        <v>3279</v>
      </c>
      <c r="K12" s="33" t="n">
        <v>0.372</v>
      </c>
      <c r="L12" s="31" t="n">
        <v>10</v>
      </c>
      <c r="M12" s="34" t="inlineStr">
        <is>
          <t>N</t>
        </is>
      </c>
      <c r="N12" s="31" t="n"/>
      <c r="O12" s="31" t="n"/>
      <c r="P12" s="31" t="n"/>
      <c r="Q12" s="32" t="n"/>
      <c r="R12" s="33" t="n"/>
      <c r="S12" s="34" t="inlineStr">
        <is>
          <t>Y</t>
        </is>
      </c>
      <c r="T12" s="34" t="n">
        <v>2</v>
      </c>
      <c r="U12" s="31">
        <f>IF(S12="Y",C12*$B$4+T12,0)</f>
        <v/>
      </c>
      <c r="V12" s="31">
        <f>IF(M12="Y",N12,G12)&amp;""</f>
        <v/>
      </c>
      <c r="W12" s="31">
        <f>IF(M12="Y",O12,H12)&amp;""</f>
        <v/>
      </c>
      <c r="X12" s="31">
        <f>IF(M12="Y",P12,I12)&amp;""</f>
        <v/>
      </c>
      <c r="Y12" s="35">
        <f>U12*IF(M12="Y",R12,K12)</f>
        <v/>
      </c>
      <c r="Z12" s="31" t="inlineStr">
        <is>
          <t>Y2 has CL = 6 pF (no 4 pF 3.2x1.5 mm crystal is stocked), which needs 8.2 pF load caps: CL = C/2 + ~2 pF stray. Changed from 4.3p in the schematic on 2026-09-26.</t>
        </is>
      </c>
      <c r="AA12" s="31">
        <f>IF(W12="","",HYPERLINK("https://www.digikey.com/en/products/result?keywords="&amp;W12,"open"))</f>
        <v/>
      </c>
    </row>
    <row r="13" ht="23.85" customHeight="1" s="23">
      <c r="A13" s="36" t="n">
        <v>6</v>
      </c>
      <c r="B13" s="36" t="inlineStr">
        <is>
          <t>C9,C10</t>
        </is>
      </c>
      <c r="C13" s="36" t="n">
        <v>2</v>
      </c>
      <c r="D13" s="36" t="inlineStr">
        <is>
          <t>15p</t>
        </is>
      </c>
      <c r="E13" s="36" t="inlineStr">
        <is>
          <t>Capacitor, ceramic, 15 pF 50 V C0G ±5% (27.12 MHz load caps)</t>
        </is>
      </c>
      <c r="F13" s="36" t="inlineStr">
        <is>
          <t>0805</t>
        </is>
      </c>
      <c r="G13" s="36" t="inlineStr">
        <is>
          <t>KEMET</t>
        </is>
      </c>
      <c r="H13" s="36" t="inlineStr">
        <is>
          <t>C0805C150J5GACTU</t>
        </is>
      </c>
      <c r="I13" s="36" t="inlineStr">
        <is>
          <t>399-C0805C150J5GACTUCT-ND</t>
        </is>
      </c>
      <c r="J13" s="37" t="n">
        <v>28868</v>
      </c>
      <c r="K13" s="38" t="n">
        <v>0.16</v>
      </c>
      <c r="L13" s="36" t="n">
        <v>10</v>
      </c>
      <c r="M13" s="34" t="inlineStr">
        <is>
          <t>N</t>
        </is>
      </c>
      <c r="N13" s="36" t="n"/>
      <c r="O13" s="36" t="n"/>
      <c r="P13" s="36" t="n"/>
      <c r="Q13" s="37" t="n"/>
      <c r="R13" s="38" t="n"/>
      <c r="S13" s="34" t="inlineStr">
        <is>
          <t>Y</t>
        </is>
      </c>
      <c r="T13" s="34" t="n">
        <v>2</v>
      </c>
      <c r="U13" s="36">
        <f>IF(S13="Y",C13*$B$4+T13,0)</f>
        <v/>
      </c>
      <c r="V13" s="36">
        <f>IF(M13="Y",N13,G13)&amp;""</f>
        <v/>
      </c>
      <c r="W13" s="36">
        <f>IF(M13="Y",O13,H13)&amp;""</f>
        <v/>
      </c>
      <c r="X13" s="36">
        <f>IF(M13="Y",P13,I13)&amp;""</f>
        <v/>
      </c>
      <c r="Y13" s="39">
        <f>U13*IF(M13="Y",R13,K13)</f>
        <v/>
      </c>
      <c r="Z13" s="36" t="inlineStr">
        <is>
          <t>Samsung CL21C150JBANNNC is obsolete.</t>
        </is>
      </c>
      <c r="AA13" s="36">
        <f>IF(W13="","",HYPERLINK("https://www.digikey.com/en/products/result?keywords="&amp;W13,"open"))</f>
        <v/>
      </c>
    </row>
    <row r="14" ht="23.85" customHeight="1" s="23">
      <c r="A14" s="31" t="n">
        <v>7</v>
      </c>
      <c r="B14" s="31" t="inlineStr">
        <is>
          <t>C12,C13,C38,C39</t>
        </is>
      </c>
      <c r="C14" s="31" t="n">
        <v>4</v>
      </c>
      <c r="D14" s="31" t="inlineStr">
        <is>
          <t>150p</t>
        </is>
      </c>
      <c r="E14" s="31" t="inlineStr">
        <is>
          <t>Capacitor, ceramic, 150 pF 50 V C0G ±5%</t>
        </is>
      </c>
      <c r="F14" s="31" t="inlineStr">
        <is>
          <t>0805</t>
        </is>
      </c>
      <c r="G14" s="31" t="inlineStr">
        <is>
          <t>KEMET</t>
        </is>
      </c>
      <c r="H14" s="31" t="inlineStr">
        <is>
          <t>C0805C151J5GACTU</t>
        </is>
      </c>
      <c r="I14" s="31" t="inlineStr">
        <is>
          <t>399-C0805C151J5GACTUCT-ND</t>
        </is>
      </c>
      <c r="J14" s="32" t="n">
        <v>62894</v>
      </c>
      <c r="K14" s="33" t="n">
        <v>0.08</v>
      </c>
      <c r="L14" s="31" t="n">
        <v>10</v>
      </c>
      <c r="M14" s="34" t="inlineStr">
        <is>
          <t>N</t>
        </is>
      </c>
      <c r="N14" s="31" t="n"/>
      <c r="O14" s="31" t="n"/>
      <c r="P14" s="31" t="n"/>
      <c r="Q14" s="32" t="n"/>
      <c r="R14" s="33" t="n"/>
      <c r="S14" s="34" t="inlineStr">
        <is>
          <t>Y</t>
        </is>
      </c>
      <c r="T14" s="34" t="n">
        <v>2</v>
      </c>
      <c r="U14" s="31">
        <f>IF(S14="Y",C14*$B$4+T14,0)</f>
        <v/>
      </c>
      <c r="V14" s="31">
        <f>IF(M14="Y",N14,G14)&amp;""</f>
        <v/>
      </c>
      <c r="W14" s="31">
        <f>IF(M14="Y",O14,H14)&amp;""</f>
        <v/>
      </c>
      <c r="X14" s="31">
        <f>IF(M14="Y",P14,I14)&amp;""</f>
        <v/>
      </c>
      <c r="Y14" s="35">
        <f>U14*IF(M14="Y",R14,K14)</f>
        <v/>
      </c>
      <c r="Z14" s="31" t="inlineStr">
        <is>
          <t>EMC filter (C12/C13) and RX divider (C38/C39).</t>
        </is>
      </c>
      <c r="AA14" s="31">
        <f>IF(W14="","",HYPERLINK("https://www.digikey.com/en/products/result?keywords="&amp;W14,"open"))</f>
        <v/>
      </c>
    </row>
    <row r="15" ht="23.85" customHeight="1" s="23">
      <c r="A15" s="36" t="n">
        <v>8</v>
      </c>
      <c r="B15" s="36" t="inlineStr">
        <is>
          <t>C15,C37</t>
        </is>
      </c>
      <c r="C15" s="36" t="n">
        <v>2</v>
      </c>
      <c r="D15" s="36" t="inlineStr">
        <is>
          <t>10p</t>
        </is>
      </c>
      <c r="E15" s="36" t="inlineStr">
        <is>
          <t>Capacitor, ceramic, 10 pF 50 V C0G ±5%</t>
        </is>
      </c>
      <c r="F15" s="36" t="inlineStr">
        <is>
          <t>0805</t>
        </is>
      </c>
      <c r="G15" s="36" t="inlineStr">
        <is>
          <t>KEMET</t>
        </is>
      </c>
      <c r="H15" s="36" t="inlineStr">
        <is>
          <t>C0805C100J5GACTU</t>
        </is>
      </c>
      <c r="I15" s="36" t="inlineStr">
        <is>
          <t>399-C0805C100J5GAC7800CT-ND</t>
        </is>
      </c>
      <c r="J15" s="37" t="n">
        <v>215055</v>
      </c>
      <c r="K15" s="38" t="n">
        <v>0.076</v>
      </c>
      <c r="L15" s="36" t="n">
        <v>10</v>
      </c>
      <c r="M15" s="34" t="inlineStr">
        <is>
          <t>N</t>
        </is>
      </c>
      <c r="N15" s="36" t="n"/>
      <c r="O15" s="36" t="n"/>
      <c r="P15" s="36" t="n"/>
      <c r="Q15" s="37" t="n"/>
      <c r="R15" s="38" t="n"/>
      <c r="S15" s="34" t="inlineStr">
        <is>
          <t>Y</t>
        </is>
      </c>
      <c r="T15" s="34" t="n">
        <v>2</v>
      </c>
      <c r="U15" s="36">
        <f>IF(S15="Y",C15*$B$4+T15,0)</f>
        <v/>
      </c>
      <c r="V15" s="36">
        <f>IF(M15="Y",N15,G15)&amp;""</f>
        <v/>
      </c>
      <c r="W15" s="36">
        <f>IF(M15="Y",O15,H15)&amp;""</f>
        <v/>
      </c>
      <c r="X15" s="36">
        <f>IF(M15="Y",P15,I15)&amp;""</f>
        <v/>
      </c>
      <c r="Y15" s="39">
        <f>U15*IF(M15="Y",R15,K15)</f>
        <v/>
      </c>
      <c r="Z15" s="36" t="inlineStr">
        <is>
          <t>RX divider series caps. Digi-Key number really ends GAC7800CT-ND.</t>
        </is>
      </c>
      <c r="AA15" s="36">
        <f>IF(W15="","",HYPERLINK("https://www.digikey.com/en/products/result?keywords="&amp;W15,"open"))</f>
        <v/>
      </c>
    </row>
    <row r="16" ht="23.85" customHeight="1" s="23">
      <c r="A16" s="31" t="n">
        <v>9</v>
      </c>
      <c r="B16" s="31" t="inlineStr">
        <is>
          <t>C16,C17</t>
        </is>
      </c>
      <c r="C16" s="31" t="n">
        <v>2</v>
      </c>
      <c r="D16" s="31" t="inlineStr">
        <is>
          <t>68p</t>
        </is>
      </c>
      <c r="E16" s="31" t="inlineStr">
        <is>
          <t>Capacitor, ceramic, 68 pF 50 V C0G ±5% (series matching)</t>
        </is>
      </c>
      <c r="F16" s="31" t="inlineStr">
        <is>
          <t>0805</t>
        </is>
      </c>
      <c r="G16" s="31" t="inlineStr">
        <is>
          <t>KEMET</t>
        </is>
      </c>
      <c r="H16" s="31" t="inlineStr">
        <is>
          <t>C0805C680J5GACTU</t>
        </is>
      </c>
      <c r="I16" s="31" t="inlineStr">
        <is>
          <t>399-C0805C680J5GACTUCT-ND</t>
        </is>
      </c>
      <c r="J16" s="32" t="n">
        <v>20555</v>
      </c>
      <c r="K16" s="33" t="n">
        <v>0.106</v>
      </c>
      <c r="L16" s="31" t="n">
        <v>10</v>
      </c>
      <c r="M16" s="34" t="inlineStr">
        <is>
          <t>N</t>
        </is>
      </c>
      <c r="N16" s="31" t="n"/>
      <c r="O16" s="31" t="n"/>
      <c r="P16" s="31" t="n"/>
      <c r="Q16" s="32" t="n"/>
      <c r="R16" s="33" t="n"/>
      <c r="S16" s="34" t="inlineStr">
        <is>
          <t>Y</t>
        </is>
      </c>
      <c r="T16" s="34" t="n">
        <v>4</v>
      </c>
      <c r="U16" s="31">
        <f>IF(S16="Y",C16*$B$4+T16,0)</f>
        <v/>
      </c>
      <c r="V16" s="31">
        <f>IF(M16="Y",N16,G16)&amp;""</f>
        <v/>
      </c>
      <c r="W16" s="31">
        <f>IF(M16="Y",O16,H16)&amp;""</f>
        <v/>
      </c>
      <c r="X16" s="31">
        <f>IF(M16="Y",P16,I16)&amp;""</f>
        <v/>
      </c>
      <c r="Y16" s="35">
        <f>U16*IF(M16="Y",R16,K16)</f>
        <v/>
      </c>
      <c r="Z16" s="31" t="inlineStr">
        <is>
          <t>Matching values change when the antenna is tuned; spares allow a retune.</t>
        </is>
      </c>
      <c r="AA16" s="31">
        <f>IF(W16="","",HYPERLINK("https://www.digikey.com/en/products/result?keywords="&amp;W16,"open"))</f>
        <v/>
      </c>
    </row>
    <row r="17" ht="23.85" customHeight="1" s="23">
      <c r="A17" s="36" t="n">
        <v>10</v>
      </c>
      <c r="B17" s="36" t="inlineStr">
        <is>
          <t>C18,C19</t>
        </is>
      </c>
      <c r="C17" s="36" t="n">
        <v>2</v>
      </c>
      <c r="D17" s="36" t="inlineStr">
        <is>
          <t>270p</t>
        </is>
      </c>
      <c r="E17" s="36" t="inlineStr">
        <is>
          <t>Capacitor, ceramic, 270 pF 50 V C0G ±5% (parallel matching)</t>
        </is>
      </c>
      <c r="F17" s="36" t="inlineStr">
        <is>
          <t>0805</t>
        </is>
      </c>
      <c r="G17" s="36" t="inlineStr">
        <is>
          <t>KEMET</t>
        </is>
      </c>
      <c r="H17" s="36" t="inlineStr">
        <is>
          <t>C0805C271J5GACTU</t>
        </is>
      </c>
      <c r="I17" s="36" t="inlineStr">
        <is>
          <t>399-C0805C271J5GACTUCT-ND</t>
        </is>
      </c>
      <c r="J17" s="37" t="n">
        <v>147889</v>
      </c>
      <c r="K17" s="38" t="n">
        <v>0.216</v>
      </c>
      <c r="L17" s="36" t="n">
        <v>10</v>
      </c>
      <c r="M17" s="34" t="inlineStr">
        <is>
          <t>N</t>
        </is>
      </c>
      <c r="N17" s="36" t="n"/>
      <c r="O17" s="36" t="n"/>
      <c r="P17" s="36" t="n"/>
      <c r="Q17" s="37" t="n"/>
      <c r="R17" s="38" t="n"/>
      <c r="S17" s="34" t="inlineStr">
        <is>
          <t>Y</t>
        </is>
      </c>
      <c r="T17" s="34" t="n">
        <v>4</v>
      </c>
      <c r="U17" s="36">
        <f>IF(S17="Y",C17*$B$4+T17,0)</f>
        <v/>
      </c>
      <c r="V17" s="36">
        <f>IF(M17="Y",N17,G17)&amp;""</f>
        <v/>
      </c>
      <c r="W17" s="36">
        <f>IF(M17="Y",O17,H17)&amp;""</f>
        <v/>
      </c>
      <c r="X17" s="36">
        <f>IF(M17="Y",P17,I17)&amp;""</f>
        <v/>
      </c>
      <c r="Y17" s="39">
        <f>U17*IF(M17="Y",R17,K17)</f>
        <v/>
      </c>
      <c r="Z17" s="36" t="inlineStr">
        <is>
          <t>As above.</t>
        </is>
      </c>
      <c r="AA17" s="36">
        <f>IF(W17="","",HYPERLINK("https://www.digikey.com/en/products/result?keywords="&amp;W17,"open"))</f>
        <v/>
      </c>
    </row>
    <row r="18" ht="35.05" customHeight="1" s="23">
      <c r="A18" s="31" t="n">
        <v>11</v>
      </c>
      <c r="B18" s="31" t="inlineStr">
        <is>
          <t>C20,C21,C36</t>
        </is>
      </c>
      <c r="C18" s="31" t="n">
        <v>3</v>
      </c>
      <c r="D18" s="31" t="inlineStr">
        <is>
          <t>10u</t>
        </is>
      </c>
      <c r="E18" s="31" t="inlineStr">
        <is>
          <t>Capacitor, ceramic, 10 µF 25 V X5R ±10%</t>
        </is>
      </c>
      <c r="F18" s="31" t="inlineStr">
        <is>
          <t>0805</t>
        </is>
      </c>
      <c r="G18" s="31" t="inlineStr">
        <is>
          <t>Samsung Electro-Mechanics</t>
        </is>
      </c>
      <c r="H18" s="31" t="inlineStr">
        <is>
          <t>CL21A106KAFN3NE</t>
        </is>
      </c>
      <c r="I18" s="31" t="inlineStr">
        <is>
          <t>1276-2890-1-ND</t>
        </is>
      </c>
      <c r="J18" s="32" t="n">
        <v>178</v>
      </c>
      <c r="K18" s="33" t="n">
        <v>0.158</v>
      </c>
      <c r="L18" s="31" t="n">
        <v>10</v>
      </c>
      <c r="M18" s="34" t="inlineStr">
        <is>
          <t>N</t>
        </is>
      </c>
      <c r="N18" s="31" t="inlineStr">
        <is>
          <t>YAGEO</t>
        </is>
      </c>
      <c r="O18" s="31" t="inlineStr">
        <is>
          <t>CC0805KKX5R6BB106</t>
        </is>
      </c>
      <c r="P18" s="31" t="inlineStr">
        <is>
          <t>311-1460-1-ND</t>
        </is>
      </c>
      <c r="Q18" s="32" t="n">
        <v>5598</v>
      </c>
      <c r="R18" s="33" t="n">
        <v>0.341</v>
      </c>
      <c r="S18" s="34" t="inlineStr">
        <is>
          <t>Y</t>
        </is>
      </c>
      <c r="T18" s="34" t="n">
        <v>1</v>
      </c>
      <c r="U18" s="31">
        <f>IF(S18="Y",C18*$B$4+T18,0)</f>
        <v/>
      </c>
      <c r="V18" s="31">
        <f>IF(M18="Y",N18,G18)&amp;""</f>
        <v/>
      </c>
      <c r="W18" s="31">
        <f>IF(M18="Y",O18,H18)&amp;""</f>
        <v/>
      </c>
      <c r="X18" s="31">
        <f>IF(M18="Y",P18,I18)&amp;""</f>
        <v/>
      </c>
      <c r="Y18" s="35">
        <f>U18*IF(M18="Y",R18,K18)</f>
        <v/>
      </c>
      <c r="Z18" s="31" t="inlineStr">
        <is>
          <t>Only 178 in stock (enough for ~50 boards). Every other 10 µF 0805 checked (Samsung, Murata, TDK, KEMET) was out of stock. The alternate is 10 V, fine on the 4.2 V BAT+ rail.</t>
        </is>
      </c>
      <c r="AA18" s="31">
        <f>IF(W18="","",HYPERLINK("https://www.digikey.com/en/products/result?keywords="&amp;W18,"open"))</f>
        <v/>
      </c>
    </row>
    <row r="19" ht="23.85" customHeight="1" s="23">
      <c r="A19" s="36" t="n">
        <v>12</v>
      </c>
      <c r="B19" s="36" t="inlineStr">
        <is>
          <t>C26,C27,C31,C32</t>
        </is>
      </c>
      <c r="C19" s="36" t="n">
        <v>4</v>
      </c>
      <c r="D19" s="36" t="inlineStr">
        <is>
          <t>2.2u</t>
        </is>
      </c>
      <c r="E19" s="36" t="inlineStr">
        <is>
          <t>Capacitor, ceramic, 2.2 µF 25 V X7R ±10%</t>
        </is>
      </c>
      <c r="F19" s="36" t="inlineStr">
        <is>
          <t>0805</t>
        </is>
      </c>
      <c r="G19" s="36" t="inlineStr">
        <is>
          <t>Samsung Electro-Mechanics</t>
        </is>
      </c>
      <c r="H19" s="36" t="inlineStr">
        <is>
          <t>CL21B225KAFNNNE</t>
        </is>
      </c>
      <c r="I19" s="36" t="inlineStr">
        <is>
          <t>1276-2954-1-ND</t>
        </is>
      </c>
      <c r="J19" s="37" t="n">
        <v>390169</v>
      </c>
      <c r="K19" s="38" t="n">
        <v>0.08699999999999999</v>
      </c>
      <c r="L19" s="36" t="n">
        <v>10</v>
      </c>
      <c r="M19" s="34" t="inlineStr">
        <is>
          <t>N</t>
        </is>
      </c>
      <c r="N19" s="36" t="n"/>
      <c r="O19" s="36" t="n"/>
      <c r="P19" s="36" t="n"/>
      <c r="Q19" s="37" t="n"/>
      <c r="R19" s="38" t="n"/>
      <c r="S19" s="34" t="inlineStr">
        <is>
          <t>Y</t>
        </is>
      </c>
      <c r="T19" s="34" t="n">
        <v>2</v>
      </c>
      <c r="U19" s="36">
        <f>IF(S19="Y",C19*$B$4+T19,0)</f>
        <v/>
      </c>
      <c r="V19" s="36">
        <f>IF(M19="Y",N19,G19)&amp;""</f>
        <v/>
      </c>
      <c r="W19" s="36">
        <f>IF(M19="Y",O19,H19)&amp;""</f>
        <v/>
      </c>
      <c r="X19" s="36">
        <f>IF(M19="Y",P19,I19)&amp;""</f>
        <v/>
      </c>
      <c r="Y19" s="39">
        <f>U19*IF(M19="Y",R19,K19)</f>
        <v/>
      </c>
      <c r="Z19" s="36" t="n"/>
      <c r="AA19" s="36">
        <f>IF(W19="","",HYPERLINK("https://www.digikey.com/en/products/result?keywords="&amp;W19,"open"))</f>
        <v/>
      </c>
    </row>
    <row r="20" ht="15" customHeight="1" s="23">
      <c r="A20" s="31" t="n">
        <v>13</v>
      </c>
      <c r="B20" s="31" t="inlineStr">
        <is>
          <t>D1,D5</t>
        </is>
      </c>
      <c r="C20" s="31" t="n">
        <v>2</v>
      </c>
      <c r="D20" s="31" t="inlineStr">
        <is>
          <t>RED</t>
        </is>
      </c>
      <c r="E20" s="31" t="inlineStr">
        <is>
          <t>LED, red 631 nm, clear lens</t>
        </is>
      </c>
      <c r="F20" s="31" t="inlineStr">
        <is>
          <t>0805</t>
        </is>
      </c>
      <c r="G20" s="31" t="inlineStr">
        <is>
          <t>Lite-On Inc.</t>
        </is>
      </c>
      <c r="H20" s="31" t="inlineStr">
        <is>
          <t>LTST-C170KRKT</t>
        </is>
      </c>
      <c r="I20" s="31" t="inlineStr">
        <is>
          <t>160-1415-1-ND</t>
        </is>
      </c>
      <c r="J20" s="32" t="n">
        <v>436448</v>
      </c>
      <c r="K20" s="33" t="n">
        <v>0.18</v>
      </c>
      <c r="L20" s="31" t="n">
        <v>1</v>
      </c>
      <c r="M20" s="34" t="inlineStr">
        <is>
          <t>N</t>
        </is>
      </c>
      <c r="N20" s="31" t="n"/>
      <c r="O20" s="31" t="n"/>
      <c r="P20" s="31" t="n"/>
      <c r="Q20" s="32" t="n"/>
      <c r="R20" s="33" t="n"/>
      <c r="S20" s="34" t="inlineStr">
        <is>
          <t>Y</t>
        </is>
      </c>
      <c r="T20" s="34" t="n">
        <v>1</v>
      </c>
      <c r="U20" s="31">
        <f>IF(S20="Y",C20*$B$4+T20,0)</f>
        <v/>
      </c>
      <c r="V20" s="31">
        <f>IF(M20="Y",N20,G20)&amp;""</f>
        <v/>
      </c>
      <c r="W20" s="31">
        <f>IF(M20="Y",O20,H20)&amp;""</f>
        <v/>
      </c>
      <c r="X20" s="31">
        <f>IF(M20="Y",P20,I20)&amp;""</f>
        <v/>
      </c>
      <c r="Y20" s="35">
        <f>U20*IF(M20="Y",R20,K20)</f>
        <v/>
      </c>
      <c r="Z20" s="31" t="inlineStr">
        <is>
          <t>Check the cathode mark against the footprint.</t>
        </is>
      </c>
      <c r="AA20" s="31">
        <f>IF(W20="","",HYPERLINK("https://www.digikey.com/en/products/result?keywords="&amp;W20,"open"))</f>
        <v/>
      </c>
    </row>
    <row r="21" ht="15" customHeight="1" s="23">
      <c r="A21" s="36" t="n">
        <v>14</v>
      </c>
      <c r="B21" s="36" t="inlineStr">
        <is>
          <t>D2,D3,D6</t>
        </is>
      </c>
      <c r="C21" s="36" t="n">
        <v>3</v>
      </c>
      <c r="D21" s="36" t="inlineStr">
        <is>
          <t>GREEN</t>
        </is>
      </c>
      <c r="E21" s="36" t="inlineStr">
        <is>
          <t>LED, green 571 nm, clear lens</t>
        </is>
      </c>
      <c r="F21" s="36" t="inlineStr">
        <is>
          <t>0805</t>
        </is>
      </c>
      <c r="G21" s="36" t="inlineStr">
        <is>
          <t>Lite-On Inc.</t>
        </is>
      </c>
      <c r="H21" s="36" t="inlineStr">
        <is>
          <t>LTST-C170KGKT</t>
        </is>
      </c>
      <c r="I21" s="36" t="inlineStr">
        <is>
          <t>160-1414-1-ND</t>
        </is>
      </c>
      <c r="J21" s="37" t="n">
        <v>477688</v>
      </c>
      <c r="K21" s="38" t="n">
        <v>0.19</v>
      </c>
      <c r="L21" s="36" t="n">
        <v>1</v>
      </c>
      <c r="M21" s="34" t="inlineStr">
        <is>
          <t>N</t>
        </is>
      </c>
      <c r="N21" s="36" t="n"/>
      <c r="O21" s="36" t="n"/>
      <c r="P21" s="36" t="n"/>
      <c r="Q21" s="37" t="n"/>
      <c r="R21" s="38" t="n"/>
      <c r="S21" s="34" t="inlineStr">
        <is>
          <t>Y</t>
        </is>
      </c>
      <c r="T21" s="34" t="n">
        <v>1</v>
      </c>
      <c r="U21" s="36">
        <f>IF(S21="Y",C21*$B$4+T21,0)</f>
        <v/>
      </c>
      <c r="V21" s="36">
        <f>IF(M21="Y",N21,G21)&amp;""</f>
        <v/>
      </c>
      <c r="W21" s="36">
        <f>IF(M21="Y",O21,H21)&amp;""</f>
        <v/>
      </c>
      <c r="X21" s="36">
        <f>IF(M21="Y",P21,I21)&amp;""</f>
        <v/>
      </c>
      <c r="Y21" s="39">
        <f>U21*IF(M21="Y",R21,K21)</f>
        <v/>
      </c>
      <c r="Z21" s="36" t="n"/>
      <c r="AA21" s="36">
        <f>IF(W21="","",HYPERLINK("https://www.digikey.com/en/products/result?keywords="&amp;W21,"open"))</f>
        <v/>
      </c>
    </row>
    <row r="22" ht="23.85" customHeight="1" s="23">
      <c r="A22" s="31" t="n">
        <v>15</v>
      </c>
      <c r="B22" s="31" t="inlineStr">
        <is>
          <t>D4</t>
        </is>
      </c>
      <c r="C22" s="31" t="n">
        <v>1</v>
      </c>
      <c r="D22" s="31" t="inlineStr">
        <is>
          <t>SS14</t>
        </is>
      </c>
      <c r="E22" s="31" t="inlineStr">
        <is>
          <t>Diode, Schottky 40 V 1 A (motor flyback)</t>
        </is>
      </c>
      <c r="F22" s="31" t="inlineStr">
        <is>
          <t>SMA (DO-214AC)</t>
        </is>
      </c>
      <c r="G22" s="31" t="inlineStr">
        <is>
          <t>Vishay General Semiconductor</t>
        </is>
      </c>
      <c r="H22" s="31" t="inlineStr">
        <is>
          <t>SS14-E3/61T</t>
        </is>
      </c>
      <c r="I22" s="31" t="inlineStr">
        <is>
          <t>SS14-E3/61TGICT-ND</t>
        </is>
      </c>
      <c r="J22" s="32" t="n">
        <v>141918</v>
      </c>
      <c r="K22" s="33" t="n">
        <v>0.47</v>
      </c>
      <c r="L22" s="31" t="n">
        <v>1</v>
      </c>
      <c r="M22" s="34" t="inlineStr">
        <is>
          <t>N</t>
        </is>
      </c>
      <c r="N22" s="31" t="n"/>
      <c r="O22" s="31" t="n"/>
      <c r="P22" s="31" t="n"/>
      <c r="Q22" s="32" t="n"/>
      <c r="R22" s="33" t="n"/>
      <c r="S22" s="34" t="inlineStr">
        <is>
          <t>Y</t>
        </is>
      </c>
      <c r="T22" s="34" t="n">
        <v>0</v>
      </c>
      <c r="U22" s="31">
        <f>IF(S22="Y",C22*$B$4+T22,0)</f>
        <v/>
      </c>
      <c r="V22" s="31">
        <f>IF(M22="Y",N22,G22)&amp;""</f>
        <v/>
      </c>
      <c r="W22" s="31">
        <f>IF(M22="Y",O22,H22)&amp;""</f>
        <v/>
      </c>
      <c r="X22" s="31">
        <f>IF(M22="Y",P22,I22)&amp;""</f>
        <v/>
      </c>
      <c r="Y22" s="35">
        <f>U22*IF(M22="Y",R22,K22)</f>
        <v/>
      </c>
      <c r="Z22" s="31" t="n"/>
      <c r="AA22" s="31">
        <f>IF(W22="","",HYPERLINK("https://www.digikey.com/en/products/result?keywords="&amp;W22,"open"))</f>
        <v/>
      </c>
    </row>
    <row r="23" ht="23.85" customHeight="1" s="23">
      <c r="A23" s="36" t="n">
        <v>16</v>
      </c>
      <c r="B23" s="36" t="inlineStr">
        <is>
          <t>FB1,FB2</t>
        </is>
      </c>
      <c r="C23" s="36" t="n">
        <v>2</v>
      </c>
      <c r="D23" s="36" t="inlineStr">
        <is>
          <t>600R@100MHz</t>
        </is>
      </c>
      <c r="E23" s="36" t="inlineStr">
        <is>
          <t>Ferrite bead, 600 Ω @ 100 MHz, 300 mA, 0.52 Ω DCR</t>
        </is>
      </c>
      <c r="F23" s="36" t="inlineStr">
        <is>
          <t>0402</t>
        </is>
      </c>
      <c r="G23" s="36" t="inlineStr">
        <is>
          <t>Murata Electronics</t>
        </is>
      </c>
      <c r="H23" s="36" t="inlineStr">
        <is>
          <t>BLM15AG601SN1D</t>
        </is>
      </c>
      <c r="I23" s="36" t="inlineStr">
        <is>
          <t>490-1006-1-ND</t>
        </is>
      </c>
      <c r="J23" s="37" t="n">
        <v>1148672</v>
      </c>
      <c r="K23" s="38" t="n">
        <v>0.1</v>
      </c>
      <c r="L23" s="36" t="n">
        <v>1</v>
      </c>
      <c r="M23" s="34" t="inlineStr">
        <is>
          <t>N</t>
        </is>
      </c>
      <c r="N23" s="36" t="n"/>
      <c r="O23" s="36" t="n"/>
      <c r="P23" s="36" t="n"/>
      <c r="Q23" s="37" t="n"/>
      <c r="R23" s="38" t="n"/>
      <c r="S23" s="34" t="inlineStr">
        <is>
          <t>Y</t>
        </is>
      </c>
      <c r="T23" s="34" t="n">
        <v>2</v>
      </c>
      <c r="U23" s="36">
        <f>IF(S23="Y",C23*$B$4+T23,0)</f>
        <v/>
      </c>
      <c r="V23" s="36">
        <f>IF(M23="Y",N23,G23)&amp;""</f>
        <v/>
      </c>
      <c r="W23" s="36">
        <f>IF(M23="Y",O23,H23)&amp;""</f>
        <v/>
      </c>
      <c r="X23" s="36">
        <f>IF(M23="Y",P23,I23)&amp;""</f>
        <v/>
      </c>
      <c r="Y23" s="39">
        <f>U23*IF(M23="Y",R23,K23)</f>
        <v/>
      </c>
      <c r="Z23" s="36" t="n"/>
      <c r="AA23" s="36">
        <f>IF(W23="","",HYPERLINK("https://www.digikey.com/en/products/result?keywords="&amp;W23,"open"))</f>
        <v/>
      </c>
    </row>
    <row r="24" ht="23.85" customHeight="1" s="23">
      <c r="A24" s="31" t="n">
        <v>17</v>
      </c>
      <c r="B24" s="31" t="inlineStr">
        <is>
          <t>J1</t>
        </is>
      </c>
      <c r="C24" s="31" t="n">
        <v>1</v>
      </c>
      <c r="D24" s="31" t="inlineStr">
        <is>
          <t>USB-C</t>
        </is>
      </c>
      <c r="E24" s="31" t="inlineStr">
        <is>
          <t>Connector, USB-C receptacle, USB 2.0, 16-pin, SMT right angle</t>
        </is>
      </c>
      <c r="F24" s="31" t="inlineStr">
        <is>
          <t>GCT USB4110</t>
        </is>
      </c>
      <c r="G24" s="31" t="inlineStr">
        <is>
          <t>GCT</t>
        </is>
      </c>
      <c r="H24" s="31" t="inlineStr">
        <is>
          <t>USB4110-GF-A</t>
        </is>
      </c>
      <c r="I24" s="31" t="inlineStr">
        <is>
          <t>2073-USB4110-GF-A-1-ND</t>
        </is>
      </c>
      <c r="J24" s="32" t="n">
        <v>145796</v>
      </c>
      <c r="K24" s="33" t="n">
        <v>1.27</v>
      </c>
      <c r="L24" s="31" t="n">
        <v>1</v>
      </c>
      <c r="M24" s="34" t="inlineStr">
        <is>
          <t>N</t>
        </is>
      </c>
      <c r="N24" s="31" t="n"/>
      <c r="O24" s="31" t="n"/>
      <c r="P24" s="31" t="n"/>
      <c r="Q24" s="32" t="n"/>
      <c r="R24" s="33" t="n"/>
      <c r="S24" s="34" t="inlineStr">
        <is>
          <t>Y</t>
        </is>
      </c>
      <c r="T24" s="34" t="n">
        <v>0</v>
      </c>
      <c r="U24" s="31">
        <f>IF(S24="Y",C24*$B$4+T24,0)</f>
        <v/>
      </c>
      <c r="V24" s="31">
        <f>IF(M24="Y",N24,G24)&amp;""</f>
        <v/>
      </c>
      <c r="W24" s="31">
        <f>IF(M24="Y",O24,H24)&amp;""</f>
        <v/>
      </c>
      <c r="X24" s="31">
        <f>IF(M24="Y",P24,I24)&amp;""</f>
        <v/>
      </c>
      <c r="Y24" s="35">
        <f>U24*IF(M24="Y",R24,K24)</f>
        <v/>
      </c>
      <c r="Z24" s="31" t="n"/>
      <c r="AA24" s="31">
        <f>IF(W24="","",HYPERLINK("https://www.digikey.com/en/products/result?keywords="&amp;W24,"open"))</f>
        <v/>
      </c>
    </row>
    <row r="25" ht="23.85" customHeight="1" s="23">
      <c r="A25" s="36" t="n">
        <v>18</v>
      </c>
      <c r="B25" s="36" t="inlineStr">
        <is>
          <t>J2</t>
        </is>
      </c>
      <c r="C25" s="36" t="n">
        <v>1</v>
      </c>
      <c r="D25" s="36" t="inlineStr">
        <is>
          <t>BATTERY</t>
        </is>
      </c>
      <c r="E25" s="36" t="inlineStr">
        <is>
          <t>Connector header, JST XA, 2-pos 2.50 mm, vertical, shrouded, THT</t>
        </is>
      </c>
      <c r="F25" s="36" t="inlineStr">
        <is>
          <t>JST B02B-XASK-1</t>
        </is>
      </c>
      <c r="G25" s="36" t="inlineStr">
        <is>
          <t>JST Sales America Inc.</t>
        </is>
      </c>
      <c r="H25" s="36" t="inlineStr">
        <is>
          <t>B02B-XASK-1</t>
        </is>
      </c>
      <c r="I25" s="36" t="inlineStr">
        <is>
          <t>455-B02B-XASK-1-ND</t>
        </is>
      </c>
      <c r="J25" s="37" t="n">
        <v>12098</v>
      </c>
      <c r="K25" s="38" t="n">
        <v>0.16</v>
      </c>
      <c r="L25" s="36" t="n">
        <v>1</v>
      </c>
      <c r="M25" s="34" t="inlineStr">
        <is>
          <t>N</t>
        </is>
      </c>
      <c r="N25" s="36" t="n"/>
      <c r="O25" s="36" t="n"/>
      <c r="P25" s="36" t="n"/>
      <c r="Q25" s="37" t="n"/>
      <c r="R25" s="38" t="n"/>
      <c r="S25" s="34" t="inlineStr">
        <is>
          <t>Y</t>
        </is>
      </c>
      <c r="T25" s="34" t="n">
        <v>0</v>
      </c>
      <c r="U25" s="36">
        <f>IF(S25="Y",C25*$B$4+T25,0)</f>
        <v/>
      </c>
      <c r="V25" s="36">
        <f>IF(M25="Y",N25,G25)&amp;""</f>
        <v/>
      </c>
      <c r="W25" s="36">
        <f>IF(M25="Y",O25,H25)&amp;""</f>
        <v/>
      </c>
      <c r="X25" s="36">
        <f>IF(M25="Y",P25,I25)&amp;""</f>
        <v/>
      </c>
      <c r="Y25" s="39">
        <f>U25*IF(M25="Y",R25,K25)</f>
        <v/>
      </c>
      <c r="Z25" s="36" t="inlineStr">
        <is>
          <t>Mating cable parts are listed at the end (optional).</t>
        </is>
      </c>
      <c r="AA25" s="36">
        <f>IF(W25="","",HYPERLINK("https://www.digikey.com/en/products/result?keywords="&amp;W25,"open"))</f>
        <v/>
      </c>
    </row>
    <row r="26" ht="23.85" customHeight="1" s="23">
      <c r="A26" s="31" t="n">
        <v>19</v>
      </c>
      <c r="B26" s="31" t="inlineStr">
        <is>
          <t>J3</t>
        </is>
      </c>
      <c r="C26" s="31" t="n">
        <v>1</v>
      </c>
      <c r="D26" s="31" t="inlineStr">
        <is>
          <t>SWD</t>
        </is>
      </c>
      <c r="E26" s="31" t="inlineStr">
        <is>
          <t>Pin header, 1x4, 2.54 mm, vertical, THT</t>
        </is>
      </c>
      <c r="F26" s="31" t="inlineStr">
        <is>
          <t>1x04 P2.54</t>
        </is>
      </c>
      <c r="G26" s="31" t="inlineStr">
        <is>
          <t>Sullins Connector Solutions</t>
        </is>
      </c>
      <c r="H26" s="31" t="inlineStr">
        <is>
          <t>PREC004SAAN-RC</t>
        </is>
      </c>
      <c r="I26" s="31" t="inlineStr">
        <is>
          <t>35-PREC004SAAN-RC-ND</t>
        </is>
      </c>
      <c r="J26" s="32" t="n">
        <v>42330</v>
      </c>
      <c r="K26" s="33" t="n">
        <v>0.1</v>
      </c>
      <c r="L26" s="31" t="n">
        <v>1</v>
      </c>
      <c r="M26" s="34" t="inlineStr">
        <is>
          <t>N</t>
        </is>
      </c>
      <c r="N26" s="31" t="n"/>
      <c r="O26" s="31" t="n"/>
      <c r="P26" s="31" t="n"/>
      <c r="Q26" s="32" t="n"/>
      <c r="R26" s="33" t="n"/>
      <c r="S26" s="34" t="inlineStr">
        <is>
          <t>Y</t>
        </is>
      </c>
      <c r="T26" s="34" t="n">
        <v>0</v>
      </c>
      <c r="U26" s="31">
        <f>IF(S26="Y",C26*$B$4+T26,0)</f>
        <v/>
      </c>
      <c r="V26" s="31">
        <f>IF(M26="Y",N26,G26)&amp;""</f>
        <v/>
      </c>
      <c r="W26" s="31">
        <f>IF(M26="Y",O26,H26)&amp;""</f>
        <v/>
      </c>
      <c r="X26" s="31">
        <f>IF(M26="Y",P26,I26)&amp;""</f>
        <v/>
      </c>
      <c r="Y26" s="35">
        <f>U26*IF(M26="Y",R26,K26)</f>
        <v/>
      </c>
      <c r="Z26" s="31" t="n"/>
      <c r="AA26" s="31">
        <f>IF(W26="","",HYPERLINK("https://www.digikey.com/en/products/result?keywords="&amp;W26,"open"))</f>
        <v/>
      </c>
    </row>
    <row r="27" ht="23.85" customHeight="1" s="23">
      <c r="A27" s="36" t="n">
        <v>20</v>
      </c>
      <c r="B27" s="36" t="inlineStr">
        <is>
          <t>J4</t>
        </is>
      </c>
      <c r="C27" s="36" t="n">
        <v>1</v>
      </c>
      <c r="D27" s="36" t="inlineStr">
        <is>
          <t>VIB_MOTOR</t>
        </is>
      </c>
      <c r="E27" s="36" t="inlineStr">
        <is>
          <t>Pin header, 1x2, 2.54 mm, vertical, THT</t>
        </is>
      </c>
      <c r="F27" s="36" t="inlineStr">
        <is>
          <t>1x02 P2.54</t>
        </is>
      </c>
      <c r="G27" s="36" t="inlineStr">
        <is>
          <t>Sullins Connector Solutions</t>
        </is>
      </c>
      <c r="H27" s="36" t="inlineStr">
        <is>
          <t>PREC002SAAN-RC</t>
        </is>
      </c>
      <c r="I27" s="36" t="inlineStr">
        <is>
          <t>35-PREC002SAAN-RC-ND</t>
        </is>
      </c>
      <c r="J27" s="37" t="n">
        <v>55276</v>
      </c>
      <c r="K27" s="38" t="n">
        <v>0.1</v>
      </c>
      <c r="L27" s="36" t="n">
        <v>1</v>
      </c>
      <c r="M27" s="34" t="inlineStr">
        <is>
          <t>N</t>
        </is>
      </c>
      <c r="N27" s="36" t="n"/>
      <c r="O27" s="36" t="n"/>
      <c r="P27" s="36" t="n"/>
      <c r="Q27" s="37" t="n"/>
      <c r="R27" s="38" t="n"/>
      <c r="S27" s="34" t="inlineStr">
        <is>
          <t>Y</t>
        </is>
      </c>
      <c r="T27" s="34" t="n">
        <v>0</v>
      </c>
      <c r="U27" s="36">
        <f>IF(S27="Y",C27*$B$4+T27,0)</f>
        <v/>
      </c>
      <c r="V27" s="36">
        <f>IF(M27="Y",N27,G27)&amp;""</f>
        <v/>
      </c>
      <c r="W27" s="36">
        <f>IF(M27="Y",O27,H27)&amp;""</f>
        <v/>
      </c>
      <c r="X27" s="36">
        <f>IF(M27="Y",P27,I27)&amp;""</f>
        <v/>
      </c>
      <c r="Y27" s="39">
        <f>U27*IF(M27="Y",R27,K27)</f>
        <v/>
      </c>
      <c r="Z27" s="36" t="inlineStr">
        <is>
          <t>The vibration motor itself is not in this BOM.</t>
        </is>
      </c>
      <c r="AA27" s="36">
        <f>IF(W27="","",HYPERLINK("https://www.digikey.com/en/products/result?keywords="&amp;W27,"open"))</f>
        <v/>
      </c>
    </row>
    <row r="28" ht="23.85" customHeight="1" s="23">
      <c r="A28" s="31" t="n">
        <v>21</v>
      </c>
      <c r="B28" s="31" t="inlineStr">
        <is>
          <t>J5,J6</t>
        </is>
      </c>
      <c r="C28" s="31" t="n">
        <v>2</v>
      </c>
      <c r="D28" s="31" t="inlineStr">
        <is>
          <t>CSO / CSI</t>
        </is>
      </c>
      <c r="E28" s="31" t="inlineStr">
        <is>
          <t>Solder pads for the capacitive wake-up electrode wires (PCB feature)</t>
        </is>
      </c>
      <c r="F28" s="31" t="inlineStr">
        <is>
          <t>SolderWirePad 1x2 mm</t>
        </is>
      </c>
      <c r="G28" s="31" t="n"/>
      <c r="H28" s="31" t="n"/>
      <c r="I28" s="31" t="n"/>
      <c r="J28" s="32" t="n"/>
      <c r="K28" s="33" t="n"/>
      <c r="L28" s="31" t="n"/>
      <c r="M28" s="34" t="inlineStr">
        <is>
          <t>N</t>
        </is>
      </c>
      <c r="N28" s="31" t="n"/>
      <c r="O28" s="31" t="n"/>
      <c r="P28" s="31" t="n"/>
      <c r="Q28" s="32" t="n"/>
      <c r="R28" s="33" t="n"/>
      <c r="S28" s="34" t="inlineStr">
        <is>
          <t>N</t>
        </is>
      </c>
      <c r="T28" s="34" t="n">
        <v>0</v>
      </c>
      <c r="U28" s="31">
        <f>IF(S28="Y",C28*$B$4+T28,0)</f>
        <v/>
      </c>
      <c r="V28" s="31">
        <f>IF(M28="Y",N28,G28)&amp;""</f>
        <v/>
      </c>
      <c r="W28" s="31">
        <f>IF(M28="Y",O28,H28)&amp;""</f>
        <v/>
      </c>
      <c r="X28" s="31">
        <f>IF(M28="Y",P28,I28)&amp;""</f>
        <v/>
      </c>
      <c r="Y28" s="35">
        <f>U28*IF(M28="Y",R28,K28)</f>
        <v/>
      </c>
      <c r="Z28" s="31" t="inlineStr">
        <is>
          <t>No part to buy. Leave unconnected if U5 is the ST25R3917 alternate (pins 2/25 must be NC).</t>
        </is>
      </c>
      <c r="AA28" s="31">
        <f>IF(W28="","",HYPERLINK("https://www.digikey.com/en/products/result?keywords="&amp;W28,"open"))</f>
        <v/>
      </c>
    </row>
    <row r="29" ht="23.85" customHeight="1" s="23">
      <c r="A29" s="36" t="n">
        <v>22</v>
      </c>
      <c r="B29" s="36" t="inlineStr">
        <is>
          <t>J7</t>
        </is>
      </c>
      <c r="C29" s="36" t="n">
        <v>1</v>
      </c>
      <c r="D29" s="36" t="inlineStr">
        <is>
          <t>PN532</t>
        </is>
      </c>
      <c r="E29" s="36" t="inlineStr">
        <is>
          <t>Socket header, 1x8, 2.54 mm, female, vertical, THT</t>
        </is>
      </c>
      <c r="F29" s="36" t="inlineStr">
        <is>
          <t>1x08 P2.54</t>
        </is>
      </c>
      <c r="G29" s="36" t="inlineStr">
        <is>
          <t>Sullins Connector Solutions</t>
        </is>
      </c>
      <c r="H29" s="36" t="inlineStr">
        <is>
          <t>PPTC081LFBN-RC</t>
        </is>
      </c>
      <c r="I29" s="36" t="inlineStr">
        <is>
          <t>S7006-ND</t>
        </is>
      </c>
      <c r="J29" s="37" t="n">
        <v>29560</v>
      </c>
      <c r="K29" s="38" t="n">
        <v>0.58</v>
      </c>
      <c r="L29" s="36" t="n">
        <v>1</v>
      </c>
      <c r="M29" s="34" t="inlineStr">
        <is>
          <t>N</t>
        </is>
      </c>
      <c r="N29" s="36" t="n"/>
      <c r="O29" s="36" t="n"/>
      <c r="P29" s="36" t="n"/>
      <c r="Q29" s="37" t="n"/>
      <c r="R29" s="38" t="n"/>
      <c r="S29" s="34" t="inlineStr">
        <is>
          <t>Y</t>
        </is>
      </c>
      <c r="T29" s="34" t="n">
        <v>0</v>
      </c>
      <c r="U29" s="36">
        <f>IF(S29="Y",C29*$B$4+T29,0)</f>
        <v/>
      </c>
      <c r="V29" s="36">
        <f>IF(M29="Y",N29,G29)&amp;""</f>
        <v/>
      </c>
      <c r="W29" s="36">
        <f>IF(M29="Y",O29,H29)&amp;""</f>
        <v/>
      </c>
      <c r="X29" s="36">
        <f>IF(M29="Y",P29,I29)&amp;""</f>
        <v/>
      </c>
      <c r="Y29" s="39">
        <f>U29*IF(M29="Y",R29,K29)</f>
        <v/>
      </c>
      <c r="Z29" s="36" t="inlineStr">
        <is>
          <t>PN532 backup-reader module is not in this BOM.</t>
        </is>
      </c>
      <c r="AA29" s="36">
        <f>IF(W29="","",HYPERLINK("https://www.digikey.com/en/products/result?keywords="&amp;W29,"open"))</f>
        <v/>
      </c>
    </row>
    <row r="30" ht="35.05" customHeight="1" s="23">
      <c r="A30" s="31" t="n">
        <v>23</v>
      </c>
      <c r="B30" s="31" t="inlineStr">
        <is>
          <t>L3,L4</t>
        </is>
      </c>
      <c r="C30" s="31" t="n">
        <v>2</v>
      </c>
      <c r="D30" s="31" t="inlineStr">
        <is>
          <t>470nH</t>
        </is>
      </c>
      <c r="E30" s="31" t="inlineStr">
        <is>
          <t>Inductor, wirewound ceramic, 470 nH ±5%, 250 mA, 1.76 Ω DCR</t>
        </is>
      </c>
      <c r="F30" s="31" t="inlineStr">
        <is>
          <t>0805</t>
        </is>
      </c>
      <c r="G30" s="31" t="inlineStr">
        <is>
          <t>Coilcraft</t>
        </is>
      </c>
      <c r="H30" s="31" t="inlineStr">
        <is>
          <t>0805CS-471XJRC</t>
        </is>
      </c>
      <c r="I30" s="31" t="inlineStr">
        <is>
          <t>2457-0805CS-471XJRC-ND</t>
        </is>
      </c>
      <c r="J30" s="32" t="n">
        <v>10591</v>
      </c>
      <c r="K30" s="33" t="n">
        <v>1.34</v>
      </c>
      <c r="L30" s="31" t="n">
        <v>1</v>
      </c>
      <c r="M30" s="34" t="inlineStr">
        <is>
          <t>N</t>
        </is>
      </c>
      <c r="N30" s="31" t="n"/>
      <c r="O30" s="31" t="n"/>
      <c r="P30" s="31" t="n"/>
      <c r="Q30" s="32" t="n"/>
      <c r="R30" s="33" t="n"/>
      <c r="S30" s="34" t="inlineStr">
        <is>
          <t>Y</t>
        </is>
      </c>
      <c r="T30" s="34" t="n">
        <v>0</v>
      </c>
      <c r="U30" s="31">
        <f>IF(S30="Y",C30*$B$4+T30,0)</f>
        <v/>
      </c>
      <c r="V30" s="31">
        <f>IF(M30="Y",N30,G30)&amp;""</f>
        <v/>
      </c>
      <c r="W30" s="31">
        <f>IF(M30="Y",O30,H30)&amp;""</f>
        <v/>
      </c>
      <c r="X30" s="31">
        <f>IF(M30="Y",P30,I30)&amp;""</f>
        <v/>
      </c>
      <c r="Y30" s="35">
        <f>U30*IF(M30="Y",R30,K30)</f>
        <v/>
      </c>
      <c r="Z30" s="31" t="inlineStr">
        <is>
          <t>EMC filter carries the full TX current; 250 mA / 1.76 Ω is the best stocked 470 nH 0805. A 1210 part (e.g. Murata LQH32C) would lose less power but needs a new footprint.</t>
        </is>
      </c>
      <c r="AA30" s="31">
        <f>IF(W30="","",HYPERLINK("https://www.digikey.com/en/products/result?keywords="&amp;W30,"open"))</f>
        <v/>
      </c>
    </row>
    <row r="31" ht="23.85" customHeight="1" s="23">
      <c r="A31" s="36" t="n">
        <v>24</v>
      </c>
      <c r="B31" s="36" t="inlineStr">
        <is>
          <t>Q1</t>
        </is>
      </c>
      <c r="C31" s="36" t="n">
        <v>1</v>
      </c>
      <c r="D31" s="36" t="inlineStr">
        <is>
          <t>AO3400A</t>
        </is>
      </c>
      <c r="E31" s="36" t="inlineStr">
        <is>
          <t>MOSFET, N-ch 30 V 5.7 A (motor driver)</t>
        </is>
      </c>
      <c r="F31" s="36" t="inlineStr">
        <is>
          <t>SOT-23</t>
        </is>
      </c>
      <c r="G31" s="36" t="inlineStr">
        <is>
          <t>Alpha &amp; Omega Semiconductor</t>
        </is>
      </c>
      <c r="H31" s="36" t="inlineStr">
        <is>
          <t>AO3400A</t>
        </is>
      </c>
      <c r="I31" s="36" t="inlineStr">
        <is>
          <t>785-1000-1-ND</t>
        </is>
      </c>
      <c r="J31" s="37" t="n">
        <v>303749</v>
      </c>
      <c r="K31" s="38" t="n">
        <v>0.52</v>
      </c>
      <c r="L31" s="36" t="n">
        <v>1</v>
      </c>
      <c r="M31" s="34" t="inlineStr">
        <is>
          <t>N</t>
        </is>
      </c>
      <c r="N31" s="36" t="n"/>
      <c r="O31" s="36" t="n"/>
      <c r="P31" s="36" t="n"/>
      <c r="Q31" s="37" t="n"/>
      <c r="R31" s="38" t="n"/>
      <c r="S31" s="34" t="inlineStr">
        <is>
          <t>Y</t>
        </is>
      </c>
      <c r="T31" s="34" t="n">
        <v>0</v>
      </c>
      <c r="U31" s="36">
        <f>IF(S31="Y",C31*$B$4+T31,0)</f>
        <v/>
      </c>
      <c r="V31" s="36">
        <f>IF(M31="Y",N31,G31)&amp;""</f>
        <v/>
      </c>
      <c r="W31" s="36">
        <f>IF(M31="Y",O31,H31)&amp;""</f>
        <v/>
      </c>
      <c r="X31" s="36">
        <f>IF(M31="Y",P31,I31)&amp;""</f>
        <v/>
      </c>
      <c r="Y31" s="39">
        <f>U31*IF(M31="Y",R31,K31)</f>
        <v/>
      </c>
      <c r="Z31" s="36" t="n"/>
      <c r="AA31" s="36">
        <f>IF(W31="","",HYPERLINK("https://www.digikey.com/en/products/result?keywords="&amp;W31,"open"))</f>
        <v/>
      </c>
    </row>
    <row r="32" ht="23.85" customHeight="1" s="23">
      <c r="A32" s="31" t="n">
        <v>25</v>
      </c>
      <c r="B32" s="31" t="inlineStr">
        <is>
          <t>R1,R2</t>
        </is>
      </c>
      <c r="C32" s="31" t="n">
        <v>2</v>
      </c>
      <c r="D32" s="31" t="inlineStr">
        <is>
          <t>5.1k</t>
        </is>
      </c>
      <c r="E32" s="31" t="inlineStr">
        <is>
          <t>Resistor, 5.1 kΩ ±1% 1/8 W thick film (USB-C CC)</t>
        </is>
      </c>
      <c r="F32" s="31" t="inlineStr">
        <is>
          <t>0805</t>
        </is>
      </c>
      <c r="G32" s="31" t="inlineStr">
        <is>
          <t>Stackpole Electronics</t>
        </is>
      </c>
      <c r="H32" s="31" t="inlineStr">
        <is>
          <t>RMCF0805FT5K10</t>
        </is>
      </c>
      <c r="I32" s="31" t="inlineStr">
        <is>
          <t>RMCF0805FT5K10CT-ND</t>
        </is>
      </c>
      <c r="J32" s="32" t="n">
        <v>101761</v>
      </c>
      <c r="K32" s="33" t="n">
        <v>0.027</v>
      </c>
      <c r="L32" s="31" t="n">
        <v>10</v>
      </c>
      <c r="M32" s="34" t="inlineStr">
        <is>
          <t>N</t>
        </is>
      </c>
      <c r="N32" s="31" t="n"/>
      <c r="O32" s="31" t="n"/>
      <c r="P32" s="31" t="n"/>
      <c r="Q32" s="32" t="n"/>
      <c r="R32" s="33" t="n"/>
      <c r="S32" s="34" t="inlineStr">
        <is>
          <t>Y</t>
        </is>
      </c>
      <c r="T32" s="34" t="n">
        <v>2</v>
      </c>
      <c r="U32" s="31">
        <f>IF(S32="Y",C32*$B$4+T32,0)</f>
        <v/>
      </c>
      <c r="V32" s="31">
        <f>IF(M32="Y",N32,G32)&amp;""</f>
        <v/>
      </c>
      <c r="W32" s="31">
        <f>IF(M32="Y",O32,H32)&amp;""</f>
        <v/>
      </c>
      <c r="X32" s="31">
        <f>IF(M32="Y",P32,I32)&amp;""</f>
        <v/>
      </c>
      <c r="Y32" s="35">
        <f>U32*IF(M32="Y",R32,K32)</f>
        <v/>
      </c>
      <c r="Z32" s="31" t="inlineStr">
        <is>
          <t>Yageo RC0805FR-075K1L is out of stock.</t>
        </is>
      </c>
      <c r="AA32" s="31">
        <f>IF(W32="","",HYPERLINK("https://www.digikey.com/en/products/result?keywords="&amp;W32,"open"))</f>
        <v/>
      </c>
    </row>
    <row r="33" ht="23.85" customHeight="1" s="23">
      <c r="A33" s="36" t="n">
        <v>26</v>
      </c>
      <c r="B33" s="36" t="inlineStr">
        <is>
          <t>R3,R4,R5,R9,R10</t>
        </is>
      </c>
      <c r="C33" s="36" t="n">
        <v>5</v>
      </c>
      <c r="D33" s="36" t="inlineStr">
        <is>
          <t>470R</t>
        </is>
      </c>
      <c r="E33" s="36" t="inlineStr">
        <is>
          <t>Resistor, 470 Ω ±1% 1/8 W thick film (LED series)</t>
        </is>
      </c>
      <c r="F33" s="36" t="inlineStr">
        <is>
          <t>0805</t>
        </is>
      </c>
      <c r="G33" s="36" t="inlineStr">
        <is>
          <t>Stackpole Electronics</t>
        </is>
      </c>
      <c r="H33" s="36" t="inlineStr">
        <is>
          <t>RMCF0805FT470R</t>
        </is>
      </c>
      <c r="I33" s="36" t="inlineStr">
        <is>
          <t>RMCF0805FT470RCT-ND</t>
        </is>
      </c>
      <c r="J33" s="37" t="n">
        <v>106645</v>
      </c>
      <c r="K33" s="38" t="n">
        <v>0.027</v>
      </c>
      <c r="L33" s="36" t="n">
        <v>10</v>
      </c>
      <c r="M33" s="34" t="inlineStr">
        <is>
          <t>N</t>
        </is>
      </c>
      <c r="N33" s="36" t="n"/>
      <c r="O33" s="36" t="n"/>
      <c r="P33" s="36" t="n"/>
      <c r="Q33" s="37" t="n"/>
      <c r="R33" s="38" t="n"/>
      <c r="S33" s="34" t="inlineStr">
        <is>
          <t>Y</t>
        </is>
      </c>
      <c r="T33" s="34" t="n">
        <v>2</v>
      </c>
      <c r="U33" s="36">
        <f>IF(S33="Y",C33*$B$4+T33,0)</f>
        <v/>
      </c>
      <c r="V33" s="36">
        <f>IF(M33="Y",N33,G33)&amp;""</f>
        <v/>
      </c>
      <c r="W33" s="36">
        <f>IF(M33="Y",O33,H33)&amp;""</f>
        <v/>
      </c>
      <c r="X33" s="36">
        <f>IF(M33="Y",P33,I33)&amp;""</f>
        <v/>
      </c>
      <c r="Y33" s="39">
        <f>U33*IF(M33="Y",R33,K33)</f>
        <v/>
      </c>
      <c r="Z33" s="36" t="n"/>
      <c r="AA33" s="36">
        <f>IF(W33="","",HYPERLINK("https://www.digikey.com/en/products/result?keywords="&amp;W33,"open"))</f>
        <v/>
      </c>
    </row>
    <row r="34" ht="35.05" customHeight="1" s="23">
      <c r="A34" s="31" t="n">
        <v>27</v>
      </c>
      <c r="B34" s="31" t="inlineStr">
        <is>
          <t>R6</t>
        </is>
      </c>
      <c r="C34" s="31" t="n">
        <v>1</v>
      </c>
      <c r="D34" s="31" t="inlineStr">
        <is>
          <t>1k</t>
        </is>
      </c>
      <c r="E34" s="31" t="inlineStr">
        <is>
          <t>Resistor, 1 kΩ ±1% 1/8 W (MCP73833 PROG: sets charge current)</t>
        </is>
      </c>
      <c r="F34" s="31" t="inlineStr">
        <is>
          <t>0805</t>
        </is>
      </c>
      <c r="G34" s="31" t="inlineStr">
        <is>
          <t>Stackpole Electronics</t>
        </is>
      </c>
      <c r="H34" s="31" t="inlineStr">
        <is>
          <t>RMCF0805FT1K00</t>
        </is>
      </c>
      <c r="I34" s="31" t="inlineStr">
        <is>
          <t>RMCF0805FT1K00CT-ND</t>
        </is>
      </c>
      <c r="J34" s="32" t="n">
        <v>320655</v>
      </c>
      <c r="K34" s="33" t="n">
        <v>0.027</v>
      </c>
      <c r="L34" s="31" t="n">
        <v>10</v>
      </c>
      <c r="M34" s="34" t="inlineStr">
        <is>
          <t>N</t>
        </is>
      </c>
      <c r="N34" s="31" t="inlineStr">
        <is>
          <t>Stackpole Electronics</t>
        </is>
      </c>
      <c r="O34" s="31" t="inlineStr">
        <is>
          <t>RMCF0805FT2K00</t>
        </is>
      </c>
      <c r="P34" s="31" t="inlineStr">
        <is>
          <t>RMCF0805FT2K00CT-ND</t>
        </is>
      </c>
      <c r="Q34" s="32" t="n">
        <v>119534</v>
      </c>
      <c r="R34" s="33" t="n">
        <v>0.027</v>
      </c>
      <c r="S34" s="34" t="inlineStr">
        <is>
          <t>Y</t>
        </is>
      </c>
      <c r="T34" s="34" t="n">
        <v>2</v>
      </c>
      <c r="U34" s="31">
        <f>IF(S34="Y",C34*$B$4+T34,0)</f>
        <v/>
      </c>
      <c r="V34" s="31">
        <f>IF(M34="Y",N34,G34)&amp;""</f>
        <v/>
      </c>
      <c r="W34" s="31">
        <f>IF(M34="Y",O34,H34)&amp;""</f>
        <v/>
      </c>
      <c r="X34" s="31">
        <f>IF(M34="Y",P34,I34)&amp;""</f>
        <v/>
      </c>
      <c r="Y34" s="35">
        <f>U34*IF(M34="Y",R34,K34)</f>
        <v/>
      </c>
      <c r="Z34" s="31" t="inlineStr">
        <is>
          <t>1 kΩ = 1 A charge current: more than a USB-C sink with 5.1 kΩ Rd may draw (500 mA) and hot for the MSOP-10. Set Use alternate = Y for 2 kΩ (500 mA) after changing the schematic.</t>
        </is>
      </c>
      <c r="AA34" s="31">
        <f>IF(W34="","",HYPERLINK("https://www.digikey.com/en/products/result?keywords="&amp;W34,"open"))</f>
        <v/>
      </c>
    </row>
    <row r="35" ht="15" customHeight="1" s="23">
      <c r="A35" s="36" t="n">
        <v>28</v>
      </c>
      <c r="B35" s="36" t="inlineStr">
        <is>
          <t>R7,R8,R11,R12,R20</t>
        </is>
      </c>
      <c r="C35" s="36" t="n">
        <v>5</v>
      </c>
      <c r="D35" s="36" t="inlineStr">
        <is>
          <t>10k</t>
        </is>
      </c>
      <c r="E35" s="36" t="inlineStr">
        <is>
          <t>Resistor, 10 kΩ ±1% 1/8 W thick film</t>
        </is>
      </c>
      <c r="F35" s="36" t="inlineStr">
        <is>
          <t>0805</t>
        </is>
      </c>
      <c r="G35" s="36" t="inlineStr">
        <is>
          <t>Stackpole Electronics</t>
        </is>
      </c>
      <c r="H35" s="36" t="inlineStr">
        <is>
          <t>RMCF0805FT10K0</t>
        </is>
      </c>
      <c r="I35" s="36" t="inlineStr">
        <is>
          <t>RMCF0805FT10K0CT-ND</t>
        </is>
      </c>
      <c r="J35" s="37" t="n">
        <v>3852513</v>
      </c>
      <c r="K35" s="38" t="n">
        <v>0.027</v>
      </c>
      <c r="L35" s="36" t="n">
        <v>10</v>
      </c>
      <c r="M35" s="34" t="inlineStr">
        <is>
          <t>N</t>
        </is>
      </c>
      <c r="N35" s="36" t="n"/>
      <c r="O35" s="36" t="n"/>
      <c r="P35" s="36" t="n"/>
      <c r="Q35" s="37" t="n"/>
      <c r="R35" s="38" t="n"/>
      <c r="S35" s="34" t="inlineStr">
        <is>
          <t>Y</t>
        </is>
      </c>
      <c r="T35" s="34" t="n">
        <v>2</v>
      </c>
      <c r="U35" s="36">
        <f>IF(S35="Y",C35*$B$4+T35,0)</f>
        <v/>
      </c>
      <c r="V35" s="36">
        <f>IF(M35="Y",N35,G35)&amp;""</f>
        <v/>
      </c>
      <c r="W35" s="36">
        <f>IF(M35="Y",O35,H35)&amp;""</f>
        <v/>
      </c>
      <c r="X35" s="36">
        <f>IF(M35="Y",P35,I35)&amp;""</f>
        <v/>
      </c>
      <c r="Y35" s="39">
        <f>U35*IF(M35="Y",R35,K35)</f>
        <v/>
      </c>
      <c r="Z35" s="36" t="n"/>
      <c r="AA35" s="36">
        <f>IF(W35="","",HYPERLINK("https://www.digikey.com/en/products/result?keywords="&amp;W35,"open"))</f>
        <v/>
      </c>
    </row>
    <row r="36" ht="15" customHeight="1" s="23">
      <c r="A36" s="31" t="n">
        <v>29</v>
      </c>
      <c r="B36" s="31" t="inlineStr">
        <is>
          <t>R15</t>
        </is>
      </c>
      <c r="C36" s="31" t="n">
        <v>1</v>
      </c>
      <c r="D36" s="31" t="inlineStr">
        <is>
          <t>1.5k</t>
        </is>
      </c>
      <c r="E36" s="31" t="inlineStr">
        <is>
          <t>Resistor, 1.5 kΩ ±1% 1/8 W (antenna damping)</t>
        </is>
      </c>
      <c r="F36" s="31" t="inlineStr">
        <is>
          <t>0805</t>
        </is>
      </c>
      <c r="G36" s="31" t="inlineStr">
        <is>
          <t>Stackpole Electronics</t>
        </is>
      </c>
      <c r="H36" s="31" t="inlineStr">
        <is>
          <t>RMCF0805FT1K50</t>
        </is>
      </c>
      <c r="I36" s="31" t="inlineStr">
        <is>
          <t>RMCF0805FT1K50CT-ND</t>
        </is>
      </c>
      <c r="J36" s="32" t="n">
        <v>149568</v>
      </c>
      <c r="K36" s="33" t="n">
        <v>0.027</v>
      </c>
      <c r="L36" s="31" t="n">
        <v>10</v>
      </c>
      <c r="M36" s="34" t="inlineStr">
        <is>
          <t>N</t>
        </is>
      </c>
      <c r="N36" s="31" t="n"/>
      <c r="O36" s="31" t="n"/>
      <c r="P36" s="31" t="n"/>
      <c r="Q36" s="32" t="n"/>
      <c r="R36" s="33" t="n"/>
      <c r="S36" s="34" t="inlineStr">
        <is>
          <t>Y</t>
        </is>
      </c>
      <c r="T36" s="34" t="n">
        <v>2</v>
      </c>
      <c r="U36" s="31">
        <f>IF(S36="Y",C36*$B$4+T36,0)</f>
        <v/>
      </c>
      <c r="V36" s="31">
        <f>IF(M36="Y",N36,G36)&amp;""</f>
        <v/>
      </c>
      <c r="W36" s="31">
        <f>IF(M36="Y",O36,H36)&amp;""</f>
        <v/>
      </c>
      <c r="X36" s="31">
        <f>IF(M36="Y",P36,I36)&amp;""</f>
        <v/>
      </c>
      <c r="Y36" s="35">
        <f>U36*IF(M36="Y",R36,K36)</f>
        <v/>
      </c>
      <c r="Z36" s="31" t="inlineStr">
        <is>
          <t>Damping value may change during antenna tuning.</t>
        </is>
      </c>
      <c r="AA36" s="31">
        <f>IF(W36="","",HYPERLINK("https://www.digikey.com/en/products/result?keywords="&amp;W36,"open"))</f>
        <v/>
      </c>
    </row>
    <row r="37" ht="23.85" customHeight="1" s="23">
      <c r="A37" s="36" t="n">
        <v>30</v>
      </c>
      <c r="B37" s="36" t="inlineStr">
        <is>
          <t>R16,R18,R19</t>
        </is>
      </c>
      <c r="C37" s="36" t="n">
        <v>3</v>
      </c>
      <c r="D37" s="36" t="inlineStr">
        <is>
          <t>4.7M</t>
        </is>
      </c>
      <c r="E37" s="36" t="inlineStr">
        <is>
          <t>Resistor, 4.7 MΩ ±1% 1/8 W (battery and VBUS dividers)</t>
        </is>
      </c>
      <c r="F37" s="36" t="inlineStr">
        <is>
          <t>0805</t>
        </is>
      </c>
      <c r="G37" s="36" t="inlineStr">
        <is>
          <t>Stackpole Electronics</t>
        </is>
      </c>
      <c r="H37" s="36" t="inlineStr">
        <is>
          <t>RMCF0805FT4M70</t>
        </is>
      </c>
      <c r="I37" s="36" t="inlineStr">
        <is>
          <t>RMCF0805FT4M70CT-ND</t>
        </is>
      </c>
      <c r="J37" s="37" t="n">
        <v>12637</v>
      </c>
      <c r="K37" s="38" t="n">
        <v>0.031</v>
      </c>
      <c r="L37" s="36" t="n">
        <v>10</v>
      </c>
      <c r="M37" s="34" t="inlineStr">
        <is>
          <t>N</t>
        </is>
      </c>
      <c r="N37" s="36" t="n"/>
      <c r="O37" s="36" t="n"/>
      <c r="P37" s="36" t="n"/>
      <c r="Q37" s="37" t="n"/>
      <c r="R37" s="38" t="n"/>
      <c r="S37" s="34" t="inlineStr">
        <is>
          <t>Y</t>
        </is>
      </c>
      <c r="T37" s="34" t="n">
        <v>2</v>
      </c>
      <c r="U37" s="36">
        <f>IF(S37="Y",C37*$B$4+T37,0)</f>
        <v/>
      </c>
      <c r="V37" s="36">
        <f>IF(M37="Y",N37,G37)&amp;""</f>
        <v/>
      </c>
      <c r="W37" s="36">
        <f>IF(M37="Y",O37,H37)&amp;""</f>
        <v/>
      </c>
      <c r="X37" s="36">
        <f>IF(M37="Y",P37,I37)&amp;""</f>
        <v/>
      </c>
      <c r="Y37" s="39">
        <f>U37*IF(M37="Y",R37,K37)</f>
        <v/>
      </c>
      <c r="Z37" s="36" t="n"/>
      <c r="AA37" s="36">
        <f>IF(W37="","",HYPERLINK("https://www.digikey.com/en/products/result?keywords="&amp;W37,"open"))</f>
        <v/>
      </c>
    </row>
    <row r="38" ht="23.85" customHeight="1" s="23">
      <c r="A38" s="31" t="n">
        <v>31</v>
      </c>
      <c r="B38" s="31" t="inlineStr">
        <is>
          <t>R17</t>
        </is>
      </c>
      <c r="C38" s="31" t="n">
        <v>1</v>
      </c>
      <c r="D38" s="31" t="inlineStr">
        <is>
          <t>2.7M</t>
        </is>
      </c>
      <c r="E38" s="31" t="inlineStr">
        <is>
          <t>Resistor, 2.7 MΩ ±1% 1/8 W (battery divider low leg)</t>
        </is>
      </c>
      <c r="F38" s="31" t="inlineStr">
        <is>
          <t>0805</t>
        </is>
      </c>
      <c r="G38" s="31" t="inlineStr">
        <is>
          <t>Stackpole Electronics</t>
        </is>
      </c>
      <c r="H38" s="31" t="inlineStr">
        <is>
          <t>RMCF0805FT2M70</t>
        </is>
      </c>
      <c r="I38" s="31" t="inlineStr">
        <is>
          <t>RMCF0805FT2M70CT-ND</t>
        </is>
      </c>
      <c r="J38" s="32" t="n">
        <v>6211</v>
      </c>
      <c r="K38" s="33" t="n">
        <v>0.031</v>
      </c>
      <c r="L38" s="31" t="n">
        <v>10</v>
      </c>
      <c r="M38" s="34" t="inlineStr">
        <is>
          <t>N</t>
        </is>
      </c>
      <c r="N38" s="31" t="n"/>
      <c r="O38" s="31" t="n"/>
      <c r="P38" s="31" t="n"/>
      <c r="Q38" s="32" t="n"/>
      <c r="R38" s="33" t="n"/>
      <c r="S38" s="34" t="inlineStr">
        <is>
          <t>Y</t>
        </is>
      </c>
      <c r="T38" s="34" t="n">
        <v>2</v>
      </c>
      <c r="U38" s="31">
        <f>IF(S38="Y",C38*$B$4+T38,0)</f>
        <v/>
      </c>
      <c r="V38" s="31">
        <f>IF(M38="Y",N38,G38)&amp;""</f>
        <v/>
      </c>
      <c r="W38" s="31">
        <f>IF(M38="Y",O38,H38)&amp;""</f>
        <v/>
      </c>
      <c r="X38" s="31">
        <f>IF(M38="Y",P38,I38)&amp;""</f>
        <v/>
      </c>
      <c r="Y38" s="35">
        <f>U38*IF(M38="Y",R38,K38)</f>
        <v/>
      </c>
      <c r="Z38" s="31" t="n"/>
      <c r="AA38" s="31">
        <f>IF(W38="","",HYPERLINK("https://www.digikey.com/en/products/result?keywords="&amp;W38,"open"))</f>
        <v/>
      </c>
    </row>
    <row r="39" ht="15" customHeight="1" s="23">
      <c r="A39" s="36" t="n">
        <v>32</v>
      </c>
      <c r="B39" s="36" t="inlineStr">
        <is>
          <t>R21,R22</t>
        </is>
      </c>
      <c r="C39" s="36" t="n">
        <v>2</v>
      </c>
      <c r="D39" s="36" t="inlineStr">
        <is>
          <t>0</t>
        </is>
      </c>
      <c r="E39" s="36" t="inlineStr">
        <is>
          <t>Resistor, 0 Ω jumper (antenna feed)</t>
        </is>
      </c>
      <c r="F39" s="36" t="inlineStr">
        <is>
          <t>0805</t>
        </is>
      </c>
      <c r="G39" s="36" t="inlineStr">
        <is>
          <t>Stackpole Electronics</t>
        </is>
      </c>
      <c r="H39" s="36" t="inlineStr">
        <is>
          <t>RMCF0805ZT0R00</t>
        </is>
      </c>
      <c r="I39" s="36" t="inlineStr">
        <is>
          <t>RMCF0805ZT0R00CT-ND</t>
        </is>
      </c>
      <c r="J39" s="37" t="n">
        <v>3287189</v>
      </c>
      <c r="K39" s="38" t="n">
        <v>0.01</v>
      </c>
      <c r="L39" s="36" t="n">
        <v>10</v>
      </c>
      <c r="M39" s="34" t="inlineStr">
        <is>
          <t>N</t>
        </is>
      </c>
      <c r="N39" s="36" t="n"/>
      <c r="O39" s="36" t="n"/>
      <c r="P39" s="36" t="n"/>
      <c r="Q39" s="37" t="n"/>
      <c r="R39" s="38" t="n"/>
      <c r="S39" s="34" t="inlineStr">
        <is>
          <t>Y</t>
        </is>
      </c>
      <c r="T39" s="34" t="n">
        <v>2</v>
      </c>
      <c r="U39" s="36">
        <f>IF(S39="Y",C39*$B$4+T39,0)</f>
        <v/>
      </c>
      <c r="V39" s="36">
        <f>IF(M39="Y",N39,G39)&amp;""</f>
        <v/>
      </c>
      <c r="W39" s="36">
        <f>IF(M39="Y",O39,H39)&amp;""</f>
        <v/>
      </c>
      <c r="X39" s="36">
        <f>IF(M39="Y",P39,I39)&amp;""</f>
        <v/>
      </c>
      <c r="Y39" s="39">
        <f>U39*IF(M39="Y",R39,K39)</f>
        <v/>
      </c>
      <c r="Z39" s="36" t="n"/>
      <c r="AA39" s="36">
        <f>IF(W39="","",HYPERLINK("https://www.digikey.com/en/products/result?keywords="&amp;W39,"open"))</f>
        <v/>
      </c>
    </row>
    <row r="40" ht="23.85" customHeight="1" s="23">
      <c r="A40" s="31" t="n">
        <v>33</v>
      </c>
      <c r="B40" s="31" t="inlineStr">
        <is>
          <t>SW1,SW2,SW3</t>
        </is>
      </c>
      <c r="C40" s="31" t="n">
        <v>3</v>
      </c>
      <c r="D40" s="31" t="inlineStr">
        <is>
          <t>RST / BOOT0 / POWER</t>
        </is>
      </c>
      <c r="E40" s="31" t="inlineStr">
        <is>
          <t>Tactile switch, SPST-NO, 180 gf, 2.5 mm height, SMT</t>
        </is>
      </c>
      <c r="F40" s="31" t="inlineStr">
        <is>
          <t>C&amp;K PTS636</t>
        </is>
      </c>
      <c r="G40" s="31" t="inlineStr">
        <is>
          <t>C&amp;K</t>
        </is>
      </c>
      <c r="H40" s="31" t="inlineStr">
        <is>
          <t>PTS636SM25SMTR LFS</t>
        </is>
      </c>
      <c r="I40" s="31" t="inlineStr">
        <is>
          <t>CKN12321-1-ND</t>
        </is>
      </c>
      <c r="J40" s="32" t="n">
        <v>20227</v>
      </c>
      <c r="K40" s="33" t="n">
        <v>0.29</v>
      </c>
      <c r="L40" s="31" t="n">
        <v>1</v>
      </c>
      <c r="M40" s="34" t="inlineStr">
        <is>
          <t>N</t>
        </is>
      </c>
      <c r="N40" s="31" t="n"/>
      <c r="O40" s="31" t="n"/>
      <c r="P40" s="31" t="n"/>
      <c r="Q40" s="32" t="n"/>
      <c r="R40" s="33" t="n"/>
      <c r="S40" s="34" t="inlineStr">
        <is>
          <t>Y</t>
        </is>
      </c>
      <c r="T40" s="34" t="n">
        <v>0</v>
      </c>
      <c r="U40" s="31">
        <f>IF(S40="Y",C40*$B$4+T40,0)</f>
        <v/>
      </c>
      <c r="V40" s="31">
        <f>IF(M40="Y",N40,G40)&amp;""</f>
        <v/>
      </c>
      <c r="W40" s="31">
        <f>IF(M40="Y",O40,H40)&amp;""</f>
        <v/>
      </c>
      <c r="X40" s="31">
        <f>IF(M40="Y",P40,I40)&amp;""</f>
        <v/>
      </c>
      <c r="Y40" s="35">
        <f>U40*IF(M40="Y",R40,K40)</f>
        <v/>
      </c>
      <c r="Z40" s="31" t="inlineStr">
        <is>
          <t>Footprint is PTS636Sx25SMTRLFS; SM = 180 gf actuation.</t>
        </is>
      </c>
      <c r="AA40" s="31">
        <f>IF(W40="","",HYPERLINK("https://www.digikey.com/en/products/result?keywords="&amp;W40,"open"))</f>
        <v/>
      </c>
    </row>
    <row r="41" ht="23.85" customHeight="1" s="23">
      <c r="A41" s="36" t="n">
        <v>34</v>
      </c>
      <c r="B41" s="36" t="inlineStr">
        <is>
          <t>TH1</t>
        </is>
      </c>
      <c r="C41" s="36" t="n">
        <v>1</v>
      </c>
      <c r="D41" s="36" t="inlineStr">
        <is>
          <t>10k NTC</t>
        </is>
      </c>
      <c r="E41" s="36" t="inlineStr">
        <is>
          <t>NTC thermistor, 10 kΩ ±5%, B25/85 = 3977 K, leaded bead</t>
        </is>
      </c>
      <c r="F41" s="36" t="inlineStr">
        <is>
          <t>THT, vertical</t>
        </is>
      </c>
      <c r="G41" s="36" t="inlineStr">
        <is>
          <t>Vishay BC Components</t>
        </is>
      </c>
      <c r="H41" s="36" t="inlineStr">
        <is>
          <t>NTCLE100E3103JB0</t>
        </is>
      </c>
      <c r="I41" s="36" t="inlineStr">
        <is>
          <t>BC2301-ND</t>
        </is>
      </c>
      <c r="J41" s="37" t="n">
        <v>10220</v>
      </c>
      <c r="K41" s="38" t="n">
        <v>0.6</v>
      </c>
      <c r="L41" s="36" t="n">
        <v>1</v>
      </c>
      <c r="M41" s="34" t="inlineStr">
        <is>
          <t>N</t>
        </is>
      </c>
      <c r="N41" s="36" t="n"/>
      <c r="O41" s="36" t="n"/>
      <c r="P41" s="36" t="n"/>
      <c r="Q41" s="37" t="n"/>
      <c r="R41" s="38" t="n"/>
      <c r="S41" s="34" t="inlineStr">
        <is>
          <t>Y</t>
        </is>
      </c>
      <c r="T41" s="34" t="n">
        <v>0</v>
      </c>
      <c r="U41" s="36">
        <f>IF(S41="Y",C41*$B$4+T41,0)</f>
        <v/>
      </c>
      <c r="V41" s="36">
        <f>IF(M41="Y",N41,G41)&amp;""</f>
        <v/>
      </c>
      <c r="W41" s="36">
        <f>IF(M41="Y",O41,H41)&amp;""</f>
        <v/>
      </c>
      <c r="X41" s="36">
        <f>IF(M41="Y",P41,I41)&amp;""</f>
        <v/>
      </c>
      <c r="Y41" s="39">
        <f>U41*IF(M41="Y",R41,K41)</f>
        <v/>
      </c>
      <c r="Z41" s="36" t="inlineStr">
        <is>
          <t>Flexible leads; bend to the 1.9 mm footprint pitch.</t>
        </is>
      </c>
      <c r="AA41" s="36">
        <f>IF(W41="","",HYPERLINK("https://www.digikey.com/en/products/result?keywords="&amp;W41,"open"))</f>
        <v/>
      </c>
    </row>
    <row r="42" ht="23.85" customHeight="1" s="23">
      <c r="A42" s="31" t="n">
        <v>35</v>
      </c>
      <c r="B42" s="31" t="inlineStr">
        <is>
          <t>U1</t>
        </is>
      </c>
      <c r="C42" s="31" t="n">
        <v>1</v>
      </c>
      <c r="D42" s="31" t="inlineStr">
        <is>
          <t>STM32L432KBU6</t>
        </is>
      </c>
      <c r="E42" s="31" t="inlineStr">
        <is>
          <t>MCU, Arm Cortex-M4F 80 MHz, 128 kB flash, 64 kB RAM</t>
        </is>
      </c>
      <c r="F42" s="31" t="inlineStr">
        <is>
          <t>UFQFPN-32 5x5</t>
        </is>
      </c>
      <c r="G42" s="31" t="inlineStr">
        <is>
          <t>STMicroelectronics</t>
        </is>
      </c>
      <c r="H42" s="31" t="inlineStr">
        <is>
          <t>STM32L432KBU6</t>
        </is>
      </c>
      <c r="I42" s="31" t="n"/>
      <c r="J42" s="32" t="n"/>
      <c r="K42" s="33" t="n"/>
      <c r="L42" s="31" t="n">
        <v>1</v>
      </c>
      <c r="M42" s="34" t="inlineStr">
        <is>
          <t>N</t>
        </is>
      </c>
      <c r="N42" s="31" t="n"/>
      <c r="O42" s="31" t="n"/>
      <c r="P42" s="31" t="n"/>
      <c r="Q42" s="32" t="n"/>
      <c r="R42" s="33" t="n"/>
      <c r="S42" s="34" t="inlineStr">
        <is>
          <t>Y</t>
        </is>
      </c>
      <c r="T42" s="34" t="n">
        <v>0</v>
      </c>
      <c r="U42" s="31">
        <f>IF(S42="Y",C42*$B$4+T42,0)</f>
        <v/>
      </c>
      <c r="V42" s="31">
        <f>IF(M42="Y",N42,G42)&amp;""</f>
        <v/>
      </c>
      <c r="W42" s="31">
        <f>IF(M42="Y",O42,H42)&amp;""</f>
        <v/>
      </c>
      <c r="X42" s="31">
        <f>IF(M42="Y",P42,I42)&amp;""</f>
        <v/>
      </c>
      <c r="Y42" s="35">
        <f>U42*IF(M42="Y",R42,K42)</f>
        <v/>
      </c>
      <c r="Z42" s="31" t="inlineStr">
        <is>
          <t>128 kB part, as on the schematic and in production/bom.csv; the firmware keeps code (72 kB) and the log (56 kB) within 128 kB. Digi-Key number, stock and price not looked up yet: search the MPN before ordering (cost counts 0 until then).</t>
        </is>
      </c>
      <c r="AA42" s="31">
        <f>IF(W42="","",HYPERLINK("https://www.digikey.com/en/products/result?keywords="&amp;W42,"open"))</f>
        <v/>
      </c>
    </row>
    <row r="43" ht="15" customHeight="1" s="23">
      <c r="A43" s="36" t="n">
        <v>36</v>
      </c>
      <c r="B43" s="36" t="inlineStr">
        <is>
          <t>U2</t>
        </is>
      </c>
      <c r="C43" s="36" t="n">
        <v>1</v>
      </c>
      <c r="D43" s="36" t="inlineStr">
        <is>
          <t>MCP73833</t>
        </is>
      </c>
      <c r="E43" s="36" t="inlineStr">
        <is>
          <t>Li-ion charger, 1 cell, 4.20 V, up to 1 A</t>
        </is>
      </c>
      <c r="F43" s="36" t="inlineStr">
        <is>
          <t>MSOP-10</t>
        </is>
      </c>
      <c r="G43" s="36" t="inlineStr">
        <is>
          <t>Microchip Technology</t>
        </is>
      </c>
      <c r="H43" s="36" t="inlineStr">
        <is>
          <t>MCP73833-AMI/UN</t>
        </is>
      </c>
      <c r="I43" s="36" t="inlineStr">
        <is>
          <t>MCP73833-AMI/UN-ND</t>
        </is>
      </c>
      <c r="J43" s="37" t="n">
        <v>1437</v>
      </c>
      <c r="K43" s="38" t="n">
        <v>1.14</v>
      </c>
      <c r="L43" s="36" t="n">
        <v>1</v>
      </c>
      <c r="M43" s="34" t="inlineStr">
        <is>
          <t>N</t>
        </is>
      </c>
      <c r="N43" s="36" t="n"/>
      <c r="O43" s="36" t="n"/>
      <c r="P43" s="36" t="n"/>
      <c r="Q43" s="37" t="n"/>
      <c r="R43" s="38" t="n"/>
      <c r="S43" s="34" t="inlineStr">
        <is>
          <t>Y</t>
        </is>
      </c>
      <c r="T43" s="34" t="n">
        <v>0</v>
      </c>
      <c r="U43" s="36">
        <f>IF(S43="Y",C43*$B$4+T43,0)</f>
        <v/>
      </c>
      <c r="V43" s="36">
        <f>IF(M43="Y",N43,G43)&amp;""</f>
        <v/>
      </c>
      <c r="W43" s="36">
        <f>IF(M43="Y",O43,H43)&amp;""</f>
        <v/>
      </c>
      <c r="X43" s="36">
        <f>IF(M43="Y",P43,I43)&amp;""</f>
        <v/>
      </c>
      <c r="Y43" s="39">
        <f>U43*IF(M43="Y",R43,K43)</f>
        <v/>
      </c>
      <c r="Z43" s="36" t="inlineStr">
        <is>
          <t>AMI = 4.20 V regulation variant.</t>
        </is>
      </c>
      <c r="AA43" s="36">
        <f>IF(W43="","",HYPERLINK("https://www.digikey.com/en/products/result?keywords="&amp;W43,"open"))</f>
        <v/>
      </c>
    </row>
    <row r="44" ht="15" customHeight="1" s="23">
      <c r="A44" s="31" t="n">
        <v>37</v>
      </c>
      <c r="B44" s="31" t="inlineStr">
        <is>
          <t>U3</t>
        </is>
      </c>
      <c r="C44" s="31" t="n">
        <v>1</v>
      </c>
      <c r="D44" s="31" t="inlineStr">
        <is>
          <t>TPS7A0233</t>
        </is>
      </c>
      <c r="E44" s="31" t="inlineStr">
        <is>
          <t>LDO, 3.3 V 200 mA, 25 nA IQ</t>
        </is>
      </c>
      <c r="F44" s="31" t="inlineStr">
        <is>
          <t>SOT-23-5 (DBV)</t>
        </is>
      </c>
      <c r="G44" s="31" t="inlineStr">
        <is>
          <t>Texas Instruments</t>
        </is>
      </c>
      <c r="H44" s="31" t="inlineStr">
        <is>
          <t>TPS7A0233PDBVR</t>
        </is>
      </c>
      <c r="I44" s="31" t="inlineStr">
        <is>
          <t>296-TPS7A0233PDBVRCT-ND</t>
        </is>
      </c>
      <c r="J44" s="32" t="n">
        <v>6864</v>
      </c>
      <c r="K44" s="33" t="n">
        <v>0.84</v>
      </c>
      <c r="L44" s="31" t="n">
        <v>1</v>
      </c>
      <c r="M44" s="34" t="inlineStr">
        <is>
          <t>N</t>
        </is>
      </c>
      <c r="N44" s="31" t="n"/>
      <c r="O44" s="31" t="n"/>
      <c r="P44" s="31" t="n"/>
      <c r="Q44" s="32" t="n"/>
      <c r="R44" s="33" t="n"/>
      <c r="S44" s="34" t="inlineStr">
        <is>
          <t>Y</t>
        </is>
      </c>
      <c r="T44" s="34" t="n">
        <v>0</v>
      </c>
      <c r="U44" s="31">
        <f>IF(S44="Y",C44*$B$4+T44,0)</f>
        <v/>
      </c>
      <c r="V44" s="31">
        <f>IF(M44="Y",N44,G44)&amp;""</f>
        <v/>
      </c>
      <c r="W44" s="31">
        <f>IF(M44="Y",O44,H44)&amp;""</f>
        <v/>
      </c>
      <c r="X44" s="31">
        <f>IF(M44="Y",P44,I44)&amp;""</f>
        <v/>
      </c>
      <c r="Y44" s="35">
        <f>U44*IF(M44="Y",R44,K44)</f>
        <v/>
      </c>
      <c r="Z44" s="31" t="n"/>
      <c r="AA44" s="31">
        <f>IF(W44="","",HYPERLINK("https://www.digikey.com/en/products/result?keywords="&amp;W44,"open"))</f>
        <v/>
      </c>
    </row>
    <row r="45" ht="57.45" customHeight="1" s="23">
      <c r="A45" s="36" t="n">
        <v>38</v>
      </c>
      <c r="B45" s="36" t="inlineStr">
        <is>
          <t>U5</t>
        </is>
      </c>
      <c r="C45" s="36" t="n">
        <v>1</v>
      </c>
      <c r="D45" s="36" t="inlineStr">
        <is>
          <t>ST25R3916</t>
        </is>
      </c>
      <c r="E45" s="36" t="inlineStr">
        <is>
          <t>NFC reader IC, 13.56 MHz, SPI</t>
        </is>
      </c>
      <c r="F45" s="36" t="inlineStr">
        <is>
          <t>VFQFPN-32 5x5</t>
        </is>
      </c>
      <c r="G45" s="36" t="inlineStr">
        <is>
          <t>STMicroelectronics</t>
        </is>
      </c>
      <c r="H45" s="36" t="inlineStr">
        <is>
          <t>ST25R3916-AQWT</t>
        </is>
      </c>
      <c r="I45" s="36" t="inlineStr">
        <is>
          <t>497-18366-1-ND</t>
        </is>
      </c>
      <c r="J45" s="37" t="n">
        <v>0</v>
      </c>
      <c r="K45" s="38" t="n">
        <v>6.51</v>
      </c>
      <c r="L45" s="36" t="n">
        <v>1</v>
      </c>
      <c r="M45" s="34" t="inlineStr">
        <is>
          <t>N</t>
        </is>
      </c>
      <c r="N45" s="36" t="inlineStr">
        <is>
          <t>STMicroelectronics</t>
        </is>
      </c>
      <c r="O45" s="36" t="inlineStr">
        <is>
          <t>ST25R3917-AQWT</t>
        </is>
      </c>
      <c r="P45" s="36" t="inlineStr">
        <is>
          <t>497-ST25R3917-AQWTCT-ND</t>
        </is>
      </c>
      <c r="Q45" s="37" t="n">
        <v>4278</v>
      </c>
      <c r="R45" s="38" t="n">
        <v>6.04</v>
      </c>
      <c r="S45" s="34" t="inlineStr">
        <is>
          <t>Y</t>
        </is>
      </c>
      <c r="T45" s="34" t="n">
        <v>0</v>
      </c>
      <c r="U45" s="36">
        <f>IF(S45="Y",C45*$B$4+T45,0)</f>
        <v/>
      </c>
      <c r="V45" s="36">
        <f>IF(M45="Y",N45,G45)&amp;""</f>
        <v/>
      </c>
      <c r="W45" s="36">
        <f>IF(M45="Y",O45,H45)&amp;""</f>
        <v/>
      </c>
      <c r="X45" s="36">
        <f>IF(M45="Y",P45,I45)&amp;""</f>
        <v/>
      </c>
      <c r="Y45" s="39">
        <f>U45*IF(M45="Y",R45,K45)</f>
        <v/>
      </c>
      <c r="Z45" s="36" t="inlineStr">
        <is>
          <t>DECISION NEEDED: ST25R3916-AQWT (and the newer ST25R3916B) are out of stock at Digi-Key. The ST25R3917 is pin-compatible (same datasheet DS12484) and in stock, but it has no capacitive-sensor wake-up, no AAT and no card emulation; pins 2, 17-19 and 25 must be left unconnected. Use it only with the inductive wake-up and J5/J6 unfitted.</t>
        </is>
      </c>
      <c r="AA45" s="36">
        <f>IF(W45="","",HYPERLINK("https://www.digikey.com/en/products/result?keywords="&amp;W45,"open"))</f>
        <v/>
      </c>
    </row>
    <row r="46" ht="23.85" customHeight="1" s="23">
      <c r="A46" s="31" t="n">
        <v>39</v>
      </c>
      <c r="B46" s="31" t="inlineStr">
        <is>
          <t>U6</t>
        </is>
      </c>
      <c r="C46" s="31" t="n">
        <v>1</v>
      </c>
      <c r="D46" s="31" t="inlineStr">
        <is>
          <t>USBLC6-2SC6</t>
        </is>
      </c>
      <c r="E46" s="31" t="inlineStr">
        <is>
          <t>USB ESD protection, 2 lines + VBUS</t>
        </is>
      </c>
      <c r="F46" s="31" t="inlineStr">
        <is>
          <t>SOT-23-6</t>
        </is>
      </c>
      <c r="G46" s="31" t="inlineStr">
        <is>
          <t>STMicroelectronics</t>
        </is>
      </c>
      <c r="H46" s="31" t="inlineStr">
        <is>
          <t>USBLC6-2SC6Y</t>
        </is>
      </c>
      <c r="I46" s="31" t="inlineStr">
        <is>
          <t>497-11882-1-ND</t>
        </is>
      </c>
      <c r="J46" s="32" t="n">
        <v>39458</v>
      </c>
      <c r="K46" s="33" t="n">
        <v>0.71</v>
      </c>
      <c r="L46" s="31" t="n">
        <v>1</v>
      </c>
      <c r="M46" s="34" t="inlineStr">
        <is>
          <t>N</t>
        </is>
      </c>
      <c r="N46" s="31" t="n"/>
      <c r="O46" s="31" t="n"/>
      <c r="P46" s="31" t="n"/>
      <c r="Q46" s="32" t="n"/>
      <c r="R46" s="33" t="n"/>
      <c r="S46" s="34" t="inlineStr">
        <is>
          <t>Y</t>
        </is>
      </c>
      <c r="T46" s="34" t="n">
        <v>0</v>
      </c>
      <c r="U46" s="31">
        <f>IF(S46="Y",C46*$B$4+T46,0)</f>
        <v/>
      </c>
      <c r="V46" s="31">
        <f>IF(M46="Y",N46,G46)&amp;""</f>
        <v/>
      </c>
      <c r="W46" s="31">
        <f>IF(M46="Y",O46,H46)&amp;""</f>
        <v/>
      </c>
      <c r="X46" s="31">
        <f>IF(M46="Y",P46,I46)&amp;""</f>
        <v/>
      </c>
      <c r="Y46" s="35">
        <f>U46*IF(M46="Y",R46,K46)</f>
        <v/>
      </c>
      <c r="Z46" s="31" t="inlineStr">
        <is>
          <t>Automotive-grade version of USBLC6-2SC6, same pinout. USBLC6-2SC6 (497-5235-1-ND) is back-ordered.</t>
        </is>
      </c>
      <c r="AA46" s="31">
        <f>IF(W46="","",HYPERLINK("https://www.digikey.com/en/products/result?keywords="&amp;W46,"open"))</f>
        <v/>
      </c>
    </row>
    <row r="47" ht="23.85" customHeight="1" s="23">
      <c r="A47" s="36" t="n">
        <v>40</v>
      </c>
      <c r="B47" s="36" t="inlineStr">
        <is>
          <t>Y1</t>
        </is>
      </c>
      <c r="C47" s="36" t="n">
        <v>1</v>
      </c>
      <c r="D47" s="36" t="inlineStr">
        <is>
          <t>27.12MHz</t>
        </is>
      </c>
      <c r="E47" s="36" t="inlineStr">
        <is>
          <t>Crystal, 27.12 MHz, CL 10 pF, ±10 ppm</t>
        </is>
      </c>
      <c r="F47" s="36" t="inlineStr">
        <is>
          <t>3.2x2.5 mm 4-SMD</t>
        </is>
      </c>
      <c r="G47" s="36" t="inlineStr">
        <is>
          <t>Abracon LLC</t>
        </is>
      </c>
      <c r="H47" s="36" t="inlineStr">
        <is>
          <t>ABM8-27.120MHZ-10-D1G-T</t>
        </is>
      </c>
      <c r="I47" s="36" t="inlineStr">
        <is>
          <t>535-14403-1-ND</t>
        </is>
      </c>
      <c r="J47" s="37" t="n">
        <v>15659</v>
      </c>
      <c r="K47" s="38" t="n">
        <v>0.46</v>
      </c>
      <c r="L47" s="36" t="n">
        <v>1</v>
      </c>
      <c r="M47" s="34" t="inlineStr">
        <is>
          <t>N</t>
        </is>
      </c>
      <c r="N47" s="36" t="n"/>
      <c r="O47" s="36" t="n"/>
      <c r="P47" s="36" t="n"/>
      <c r="Q47" s="37" t="n"/>
      <c r="R47" s="38" t="n"/>
      <c r="S47" s="34" t="inlineStr">
        <is>
          <t>Y</t>
        </is>
      </c>
      <c r="T47" s="34" t="n">
        <v>0</v>
      </c>
      <c r="U47" s="36">
        <f>IF(S47="Y",C47*$B$4+T47,0)</f>
        <v/>
      </c>
      <c r="V47" s="36">
        <f>IF(M47="Y",N47,G47)&amp;""</f>
        <v/>
      </c>
      <c r="W47" s="36">
        <f>IF(M47="Y",O47,H47)&amp;""</f>
        <v/>
      </c>
      <c r="X47" s="36">
        <f>IF(M47="Y",P47,I47)&amp;""</f>
        <v/>
      </c>
      <c r="Y47" s="39">
        <f>U47*IF(M47="Y",R47,K47)</f>
        <v/>
      </c>
      <c r="Z47" s="36" t="inlineStr">
        <is>
          <t>CL 10 pF matches C9/C10 = 15 pF (7.5 pF + ~2.5 pF stray).</t>
        </is>
      </c>
      <c r="AA47" s="36">
        <f>IF(W47="","",HYPERLINK("https://www.digikey.com/en/products/result?keywords="&amp;W47,"open"))</f>
        <v/>
      </c>
    </row>
    <row r="48" ht="35.05" customHeight="1" s="23">
      <c r="A48" s="31" t="n">
        <v>41</v>
      </c>
      <c r="B48" s="31" t="inlineStr">
        <is>
          <t>Y2</t>
        </is>
      </c>
      <c r="C48" s="31" t="n">
        <v>1</v>
      </c>
      <c r="D48" s="31" t="inlineStr">
        <is>
          <t>32.768k</t>
        </is>
      </c>
      <c r="E48" s="31" t="inlineStr">
        <is>
          <t>Crystal, 32.768 kHz, CL 6 pF, ±20 ppm</t>
        </is>
      </c>
      <c r="F48" s="31" t="inlineStr">
        <is>
          <t>3.2x1.5 mm 2-SMD</t>
        </is>
      </c>
      <c r="G48" s="31" t="inlineStr">
        <is>
          <t>Abracon LLC</t>
        </is>
      </c>
      <c r="H48" s="31" t="inlineStr">
        <is>
          <t>ABS07-120-32.768KHZ-T</t>
        </is>
      </c>
      <c r="I48" s="31" t="inlineStr">
        <is>
          <t>535-11937-1-ND</t>
        </is>
      </c>
      <c r="J48" s="32" t="n">
        <v>52806</v>
      </c>
      <c r="K48" s="33" t="n">
        <v>0.9399999999999999</v>
      </c>
      <c r="L48" s="31" t="n">
        <v>1</v>
      </c>
      <c r="M48" s="34" t="inlineStr">
        <is>
          <t>N</t>
        </is>
      </c>
      <c r="N48" s="31" t="n"/>
      <c r="O48" s="31" t="n"/>
      <c r="P48" s="31" t="n"/>
      <c r="Q48" s="32" t="n"/>
      <c r="R48" s="33" t="n"/>
      <c r="S48" s="34" t="inlineStr">
        <is>
          <t>Y</t>
        </is>
      </c>
      <c r="T48" s="34" t="n">
        <v>0</v>
      </c>
      <c r="U48" s="31">
        <f>IF(S48="Y",C48*$B$4+T48,0)</f>
        <v/>
      </c>
      <c r="V48" s="31">
        <f>IF(M48="Y",N48,G48)&amp;""</f>
        <v/>
      </c>
      <c r="W48" s="31">
        <f>IF(M48="Y",O48,H48)&amp;""</f>
        <v/>
      </c>
      <c r="X48" s="31">
        <f>IF(M48="Y",P48,I48)&amp;""</f>
        <v/>
      </c>
      <c r="Y48" s="35">
        <f>U48*IF(M48="Y",R48,K48)</f>
        <v/>
      </c>
      <c r="Z48" s="31" t="inlineStr">
        <is>
          <t>Lowest-CL 3.2x1.5 mm crystal in stock (no 4 pF part). Needs the 8.2 pF load caps C6/C7. Check the land pattern against the EuroQuartz EQ161 footprint.</t>
        </is>
      </c>
      <c r="AA48" s="31">
        <f>IF(W48="","",HYPERLINK("https://www.digikey.com/en/products/result?keywords="&amp;W48,"open"))</f>
        <v/>
      </c>
    </row>
    <row r="49" ht="23.85" customHeight="1" s="23">
      <c r="A49" s="36" t="n">
        <v>42</v>
      </c>
      <c r="B49" s="36" t="inlineStr">
        <is>
          <t>AE3</t>
        </is>
      </c>
      <c r="C49" s="36" t="n">
        <v>1</v>
      </c>
      <c r="D49" s="36" t="inlineStr">
        <is>
          <t>Antenna_Loop</t>
        </is>
      </c>
      <c r="E49" s="36" t="inlineStr">
        <is>
          <t>NFC loop antenna (PCB copper)</t>
        </is>
      </c>
      <c r="F49" s="36" t="inlineStr">
        <is>
          <t>PCB trace</t>
        </is>
      </c>
      <c r="G49" s="36" t="n"/>
      <c r="H49" s="36" t="n"/>
      <c r="I49" s="36" t="n"/>
      <c r="J49" s="37" t="n"/>
      <c r="K49" s="38" t="n"/>
      <c r="L49" s="36" t="n"/>
      <c r="M49" s="34" t="inlineStr">
        <is>
          <t>N</t>
        </is>
      </c>
      <c r="N49" s="36" t="n"/>
      <c r="O49" s="36" t="n"/>
      <c r="P49" s="36" t="n"/>
      <c r="Q49" s="37" t="n"/>
      <c r="R49" s="38" t="n"/>
      <c r="S49" s="34" t="inlineStr">
        <is>
          <t>N</t>
        </is>
      </c>
      <c r="T49" s="34" t="n">
        <v>0</v>
      </c>
      <c r="U49" s="36">
        <f>IF(S49="Y",C49*$B$4+T49,0)</f>
        <v/>
      </c>
      <c r="V49" s="36">
        <f>IF(M49="Y",N49,G49)&amp;""</f>
        <v/>
      </c>
      <c r="W49" s="36">
        <f>IF(M49="Y",O49,H49)&amp;""</f>
        <v/>
      </c>
      <c r="X49" s="36">
        <f>IF(M49="Y",P49,I49)&amp;""</f>
        <v/>
      </c>
      <c r="Y49" s="39">
        <f>U49*IF(M49="Y",R49,K49)</f>
        <v/>
      </c>
      <c r="Z49" s="36" t="inlineStr">
        <is>
          <t>Etched on the PCB: nothing to buy.</t>
        </is>
      </c>
      <c r="AA49" s="36">
        <f>IF(W49="","",HYPERLINK("https://www.digikey.com/en/products/result?keywords="&amp;W49,"open"))</f>
        <v/>
      </c>
    </row>
    <row r="50" ht="15" customHeight="1" s="23">
      <c r="A50" s="31" t="n">
        <v>43</v>
      </c>
      <c r="B50" s="31" t="inlineStr">
        <is>
          <t>(cable) J2 mate</t>
        </is>
      </c>
      <c r="C50" s="31" t="n">
        <v>1</v>
      </c>
      <c r="D50" s="31" t="inlineStr">
        <is>
          <t>XAP-02V-1</t>
        </is>
      </c>
      <c r="E50" s="31" t="inlineStr">
        <is>
          <t>Battery cable: JST XA 2-pos receptacle housing</t>
        </is>
      </c>
      <c r="F50" s="31" t="n"/>
      <c r="G50" s="31" t="inlineStr">
        <is>
          <t>JST Sales America Inc.</t>
        </is>
      </c>
      <c r="H50" s="31" t="inlineStr">
        <is>
          <t>XAP-02V-1</t>
        </is>
      </c>
      <c r="I50" s="31" t="inlineStr">
        <is>
          <t>455-1903-ND</t>
        </is>
      </c>
      <c r="J50" s="32" t="n">
        <v>74040</v>
      </c>
      <c r="K50" s="33" t="n">
        <v>0.1</v>
      </c>
      <c r="L50" s="31" t="n">
        <v>1</v>
      </c>
      <c r="M50" s="34" t="inlineStr">
        <is>
          <t>N</t>
        </is>
      </c>
      <c r="N50" s="31" t="n"/>
      <c r="O50" s="31" t="n"/>
      <c r="P50" s="31" t="n"/>
      <c r="Q50" s="32" t="n"/>
      <c r="R50" s="33" t="n"/>
      <c r="S50" s="34" t="inlineStr">
        <is>
          <t>N</t>
        </is>
      </c>
      <c r="T50" s="34" t="n">
        <v>1</v>
      </c>
      <c r="U50" s="31">
        <f>IF(S50="Y",C50*$B$4+T50,0)</f>
        <v/>
      </c>
      <c r="V50" s="31">
        <f>IF(M50="Y",N50,G50)&amp;""</f>
        <v/>
      </c>
      <c r="W50" s="31">
        <f>IF(M50="Y",O50,H50)&amp;""</f>
        <v/>
      </c>
      <c r="X50" s="31">
        <f>IF(M50="Y",P50,I50)&amp;""</f>
        <v/>
      </c>
      <c r="Y50" s="35">
        <f>U50*IF(M50="Y",R50,K50)</f>
        <v/>
      </c>
      <c r="Z50" s="31" t="inlineStr">
        <is>
          <t>Optional: only if you make the battery lead yourself. Set Include = Y.</t>
        </is>
      </c>
      <c r="AA50" s="31">
        <f>IF(W50="","",HYPERLINK("https://www.digikey.com/en/products/result?keywords="&amp;W50,"open"))</f>
        <v/>
      </c>
    </row>
    <row r="51" ht="23.85" customHeight="1" s="23">
      <c r="A51" s="36" t="n">
        <v>44</v>
      </c>
      <c r="B51" s="36" t="inlineStr">
        <is>
          <t>(cable) J2 mate</t>
        </is>
      </c>
      <c r="C51" s="36" t="n">
        <v>2</v>
      </c>
      <c r="D51" s="36" t="inlineStr">
        <is>
          <t>SXA-001T-P0.6</t>
        </is>
      </c>
      <c r="E51" s="36" t="inlineStr">
        <is>
          <t>Battery cable: JST XA crimp socket contact, 22-28 AWG</t>
        </is>
      </c>
      <c r="F51" s="36" t="n"/>
      <c r="G51" s="36" t="inlineStr">
        <is>
          <t>JST Sales America Inc.</t>
        </is>
      </c>
      <c r="H51" s="36" t="inlineStr">
        <is>
          <t>SXA-001T-P0.6</t>
        </is>
      </c>
      <c r="I51" s="36" t="inlineStr">
        <is>
          <t>455-1904TR-ND</t>
        </is>
      </c>
      <c r="J51" s="37" t="n">
        <v>112000</v>
      </c>
      <c r="K51" s="38" t="n">
        <v>0.018</v>
      </c>
      <c r="L51" s="36" t="n">
        <v>1</v>
      </c>
      <c r="M51" s="34" t="inlineStr">
        <is>
          <t>N</t>
        </is>
      </c>
      <c r="N51" s="36" t="n"/>
      <c r="O51" s="36" t="n"/>
      <c r="P51" s="36" t="n"/>
      <c r="Q51" s="37" t="n"/>
      <c r="R51" s="38" t="n"/>
      <c r="S51" s="34" t="inlineStr">
        <is>
          <t>N</t>
        </is>
      </c>
      <c r="T51" s="34" t="n">
        <v>2</v>
      </c>
      <c r="U51" s="36">
        <f>IF(S51="Y",C51*$B$4+T51,0)</f>
        <v/>
      </c>
      <c r="V51" s="36">
        <f>IF(M51="Y",N51,G51)&amp;""</f>
        <v/>
      </c>
      <c r="W51" s="36">
        <f>IF(M51="Y",O51,H51)&amp;""</f>
        <v/>
      </c>
      <c r="X51" s="36">
        <f>IF(M51="Y",P51,I51)&amp;""</f>
        <v/>
      </c>
      <c r="Y51" s="39">
        <f>U51*IF(M51="Y",R51,K51)</f>
        <v/>
      </c>
      <c r="Z51" s="36" t="inlineStr">
        <is>
          <t>Optional. Sold from qty 1 on tape; needs a JST XA crimp tool.</t>
        </is>
      </c>
      <c r="AA51" s="36">
        <f>IF(W51="","",HYPERLINK("https://www.digikey.com/en/products/result?keywords="&amp;W51,"open"))</f>
        <v/>
      </c>
    </row>
    <row r="53" ht="32.8" customHeight="1" s="23">
      <c r="X53" s="28" t="inlineStr">
        <is>
          <t>Estimated total (USD)</t>
        </is>
      </c>
      <c r="Y53" s="40">
        <f>SUM(Y8:Y51)</f>
        <v/>
      </c>
      <c r="Z53" s="41" t="inlineStr">
        <is>
          <t>Estimate only: unit prices are the quoted break (column L). Digi-Key reprices the whole order at the quantities you actually buy. Excludes PCB, battery, motor, PN532 module, shipping and tax.</t>
        </is>
      </c>
    </row>
    <row r="54" ht="15" customHeight="1" s="23">
      <c r="X54" s="42" t="inlineStr">
        <is>
          <t>Parts to order (lines with qty &gt; 0)</t>
        </is>
      </c>
      <c r="Y54" s="42">
        <f>COUNTIF(U8:U51,"&gt;0")</f>
        <v/>
      </c>
    </row>
  </sheetData>
  <autoFilter ref="A7:AA51"/>
  <conditionalFormatting sqref="J8:J51">
    <cfRule type="expression" rank="0" priority="2" equalAverage="0" aboveAverage="0" dxfId="7" text="" percent="0" bottom="0">
      <formula>AND($M8&lt;&gt;"Y",$S8="Y",J8&lt;$U8)</formula>
    </cfRule>
  </conditionalFormatting>
  <conditionalFormatting sqref="Q8:Q51">
    <cfRule type="expression" rank="0" priority="3" equalAverage="0" aboveAverage="0" dxfId="7" text="" percent="0" bottom="0">
      <formula>AND($M8="Y",$S8="Y",Q8&lt;$U8)</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22" min="1" max="1"/>
    <col width="30" customWidth="1" style="22" min="2" max="2"/>
    <col width="28" customWidth="1" style="22" min="3" max="4"/>
    <col width="45" customWidth="1" style="22" min="5" max="5"/>
  </cols>
  <sheetData>
    <row r="1" ht="15" customHeight="1" s="23">
      <c r="A1" s="43" t="inlineStr">
        <is>
          <t>Quantity</t>
        </is>
      </c>
      <c r="B1" s="43" t="inlineStr">
        <is>
          <t>Digi-Key Part Number</t>
        </is>
      </c>
      <c r="C1" s="43" t="inlineStr">
        <is>
          <t>Manufacturer Part Number</t>
        </is>
      </c>
      <c r="D1" s="43" t="inlineStr">
        <is>
          <t>Manufacturer</t>
        </is>
      </c>
      <c r="E1" s="43" t="inlineStr">
        <is>
          <t>Customer Reference</t>
        </is>
      </c>
    </row>
    <row r="2" ht="15" customHeight="1" s="23">
      <c r="A2" s="44">
        <f>BOM!U8</f>
        <v/>
      </c>
      <c r="B2" s="44">
        <f>BOM!X8</f>
        <v/>
      </c>
      <c r="C2" s="44">
        <f>BOM!W8</f>
        <v/>
      </c>
      <c r="D2" s="44">
        <f>BOM!V8</f>
        <v/>
      </c>
      <c r="E2" s="44">
        <f>BOM!B8</f>
        <v/>
      </c>
    </row>
    <row r="3" ht="15" customHeight="1" s="23">
      <c r="A3" s="44">
        <f>BOM!U9</f>
        <v/>
      </c>
      <c r="B3" s="44">
        <f>BOM!X9</f>
        <v/>
      </c>
      <c r="C3" s="44">
        <f>BOM!W9</f>
        <v/>
      </c>
      <c r="D3" s="44">
        <f>BOM!V9</f>
        <v/>
      </c>
      <c r="E3" s="44">
        <f>BOM!B9</f>
        <v/>
      </c>
    </row>
    <row r="4" ht="15" customHeight="1" s="23">
      <c r="A4" s="44">
        <f>BOM!U10</f>
        <v/>
      </c>
      <c r="B4" s="44">
        <f>BOM!X10</f>
        <v/>
      </c>
      <c r="C4" s="44">
        <f>BOM!W10</f>
        <v/>
      </c>
      <c r="D4" s="44">
        <f>BOM!V10</f>
        <v/>
      </c>
      <c r="E4" s="44">
        <f>BOM!B10</f>
        <v/>
      </c>
    </row>
    <row r="5" ht="15" customHeight="1" s="23">
      <c r="A5" s="44">
        <f>BOM!U11</f>
        <v/>
      </c>
      <c r="B5" s="44">
        <f>BOM!X11</f>
        <v/>
      </c>
      <c r="C5" s="44">
        <f>BOM!W11</f>
        <v/>
      </c>
      <c r="D5" s="44">
        <f>BOM!V11</f>
        <v/>
      </c>
      <c r="E5" s="44">
        <f>BOM!B11</f>
        <v/>
      </c>
    </row>
    <row r="6" ht="15" customHeight="1" s="23">
      <c r="A6" s="44">
        <f>BOM!U12</f>
        <v/>
      </c>
      <c r="B6" s="44">
        <f>BOM!X12</f>
        <v/>
      </c>
      <c r="C6" s="44">
        <f>BOM!W12</f>
        <v/>
      </c>
      <c r="D6" s="44">
        <f>BOM!V12</f>
        <v/>
      </c>
      <c r="E6" s="44">
        <f>BOM!B12</f>
        <v/>
      </c>
    </row>
    <row r="7" ht="15" customHeight="1" s="23">
      <c r="A7" s="44">
        <f>BOM!U13</f>
        <v/>
      </c>
      <c r="B7" s="44">
        <f>BOM!X13</f>
        <v/>
      </c>
      <c r="C7" s="44">
        <f>BOM!W13</f>
        <v/>
      </c>
      <c r="D7" s="44">
        <f>BOM!V13</f>
        <v/>
      </c>
      <c r="E7" s="44">
        <f>BOM!B13</f>
        <v/>
      </c>
    </row>
    <row r="8" ht="15" customHeight="1" s="23">
      <c r="A8" s="44">
        <f>BOM!U14</f>
        <v/>
      </c>
      <c r="B8" s="44">
        <f>BOM!X14</f>
        <v/>
      </c>
      <c r="C8" s="44">
        <f>BOM!W14</f>
        <v/>
      </c>
      <c r="D8" s="44">
        <f>BOM!V14</f>
        <v/>
      </c>
      <c r="E8" s="44">
        <f>BOM!B14</f>
        <v/>
      </c>
    </row>
    <row r="9" ht="15" customHeight="1" s="23">
      <c r="A9" s="44">
        <f>BOM!U15</f>
        <v/>
      </c>
      <c r="B9" s="44">
        <f>BOM!X15</f>
        <v/>
      </c>
      <c r="C9" s="44">
        <f>BOM!W15</f>
        <v/>
      </c>
      <c r="D9" s="44">
        <f>BOM!V15</f>
        <v/>
      </c>
      <c r="E9" s="44">
        <f>BOM!B15</f>
        <v/>
      </c>
    </row>
    <row r="10" ht="15" customHeight="1" s="23">
      <c r="A10" s="44">
        <f>BOM!U16</f>
        <v/>
      </c>
      <c r="B10" s="44">
        <f>BOM!X16</f>
        <v/>
      </c>
      <c r="C10" s="44">
        <f>BOM!W16</f>
        <v/>
      </c>
      <c r="D10" s="44">
        <f>BOM!V16</f>
        <v/>
      </c>
      <c r="E10" s="44">
        <f>BOM!B16</f>
        <v/>
      </c>
    </row>
    <row r="11" ht="15" customHeight="1" s="23">
      <c r="A11" s="44">
        <f>BOM!U17</f>
        <v/>
      </c>
      <c r="B11" s="44">
        <f>BOM!X17</f>
        <v/>
      </c>
      <c r="C11" s="44">
        <f>BOM!W17</f>
        <v/>
      </c>
      <c r="D11" s="44">
        <f>BOM!V17</f>
        <v/>
      </c>
      <c r="E11" s="44">
        <f>BOM!B17</f>
        <v/>
      </c>
    </row>
    <row r="12" ht="15" customHeight="1" s="23">
      <c r="A12" s="44">
        <f>BOM!U18</f>
        <v/>
      </c>
      <c r="B12" s="44">
        <f>BOM!X18</f>
        <v/>
      </c>
      <c r="C12" s="44">
        <f>BOM!W18</f>
        <v/>
      </c>
      <c r="D12" s="44">
        <f>BOM!V18</f>
        <v/>
      </c>
      <c r="E12" s="44">
        <f>BOM!B18</f>
        <v/>
      </c>
    </row>
    <row r="13" ht="15" customHeight="1" s="23">
      <c r="A13" s="44">
        <f>BOM!U19</f>
        <v/>
      </c>
      <c r="B13" s="44">
        <f>BOM!X19</f>
        <v/>
      </c>
      <c r="C13" s="44">
        <f>BOM!W19</f>
        <v/>
      </c>
      <c r="D13" s="44">
        <f>BOM!V19</f>
        <v/>
      </c>
      <c r="E13" s="44">
        <f>BOM!B19</f>
        <v/>
      </c>
    </row>
    <row r="14" ht="15" customHeight="1" s="23">
      <c r="A14" s="44">
        <f>BOM!U20</f>
        <v/>
      </c>
      <c r="B14" s="44">
        <f>BOM!X20</f>
        <v/>
      </c>
      <c r="C14" s="44">
        <f>BOM!W20</f>
        <v/>
      </c>
      <c r="D14" s="44">
        <f>BOM!V20</f>
        <v/>
      </c>
      <c r="E14" s="44">
        <f>BOM!B20</f>
        <v/>
      </c>
    </row>
    <row r="15" ht="15" customHeight="1" s="23">
      <c r="A15" s="44">
        <f>BOM!U21</f>
        <v/>
      </c>
      <c r="B15" s="44">
        <f>BOM!X21</f>
        <v/>
      </c>
      <c r="C15" s="44">
        <f>BOM!W21</f>
        <v/>
      </c>
      <c r="D15" s="44">
        <f>BOM!V21</f>
        <v/>
      </c>
      <c r="E15" s="44">
        <f>BOM!B21</f>
        <v/>
      </c>
    </row>
    <row r="16" ht="15" customHeight="1" s="23">
      <c r="A16" s="44">
        <f>BOM!U22</f>
        <v/>
      </c>
      <c r="B16" s="44">
        <f>BOM!X22</f>
        <v/>
      </c>
      <c r="C16" s="44">
        <f>BOM!W22</f>
        <v/>
      </c>
      <c r="D16" s="44">
        <f>BOM!V22</f>
        <v/>
      </c>
      <c r="E16" s="44">
        <f>BOM!B22</f>
        <v/>
      </c>
    </row>
    <row r="17" ht="15" customHeight="1" s="23">
      <c r="A17" s="44">
        <f>BOM!U23</f>
        <v/>
      </c>
      <c r="B17" s="44">
        <f>BOM!X23</f>
        <v/>
      </c>
      <c r="C17" s="44">
        <f>BOM!W23</f>
        <v/>
      </c>
      <c r="D17" s="44">
        <f>BOM!V23</f>
        <v/>
      </c>
      <c r="E17" s="44">
        <f>BOM!B23</f>
        <v/>
      </c>
    </row>
    <row r="18" ht="15" customHeight="1" s="23">
      <c r="A18" s="44">
        <f>BOM!U24</f>
        <v/>
      </c>
      <c r="B18" s="44">
        <f>BOM!X24</f>
        <v/>
      </c>
      <c r="C18" s="44">
        <f>BOM!W24</f>
        <v/>
      </c>
      <c r="D18" s="44">
        <f>BOM!V24</f>
        <v/>
      </c>
      <c r="E18" s="44">
        <f>BOM!B24</f>
        <v/>
      </c>
    </row>
    <row r="19" ht="15" customHeight="1" s="23">
      <c r="A19" s="44">
        <f>BOM!U25</f>
        <v/>
      </c>
      <c r="B19" s="44">
        <f>BOM!X25</f>
        <v/>
      </c>
      <c r="C19" s="44">
        <f>BOM!W25</f>
        <v/>
      </c>
      <c r="D19" s="44">
        <f>BOM!V25</f>
        <v/>
      </c>
      <c r="E19" s="44">
        <f>BOM!B25</f>
        <v/>
      </c>
    </row>
    <row r="20" ht="15" customHeight="1" s="23">
      <c r="A20" s="44">
        <f>BOM!U26</f>
        <v/>
      </c>
      <c r="B20" s="44">
        <f>BOM!X26</f>
        <v/>
      </c>
      <c r="C20" s="44">
        <f>BOM!W26</f>
        <v/>
      </c>
      <c r="D20" s="44">
        <f>BOM!V26</f>
        <v/>
      </c>
      <c r="E20" s="44">
        <f>BOM!B26</f>
        <v/>
      </c>
    </row>
    <row r="21" ht="15" customHeight="1" s="23">
      <c r="A21" s="44">
        <f>BOM!U27</f>
        <v/>
      </c>
      <c r="B21" s="44">
        <f>BOM!X27</f>
        <v/>
      </c>
      <c r="C21" s="44">
        <f>BOM!W27</f>
        <v/>
      </c>
      <c r="D21" s="44">
        <f>BOM!V27</f>
        <v/>
      </c>
      <c r="E21" s="44">
        <f>BOM!B27</f>
        <v/>
      </c>
    </row>
    <row r="22" ht="15" customHeight="1" s="23">
      <c r="A22" s="44">
        <f>BOM!U29</f>
        <v/>
      </c>
      <c r="B22" s="44">
        <f>BOM!X29</f>
        <v/>
      </c>
      <c r="C22" s="44">
        <f>BOM!W29</f>
        <v/>
      </c>
      <c r="D22" s="44">
        <f>BOM!V29</f>
        <v/>
      </c>
      <c r="E22" s="44">
        <f>BOM!B29</f>
        <v/>
      </c>
    </row>
    <row r="23" ht="15" customHeight="1" s="23">
      <c r="A23" s="44">
        <f>BOM!U30</f>
        <v/>
      </c>
      <c r="B23" s="44">
        <f>BOM!X30</f>
        <v/>
      </c>
      <c r="C23" s="44">
        <f>BOM!W30</f>
        <v/>
      </c>
      <c r="D23" s="44">
        <f>BOM!V30</f>
        <v/>
      </c>
      <c r="E23" s="44">
        <f>BOM!B30</f>
        <v/>
      </c>
    </row>
    <row r="24" ht="15" customHeight="1" s="23">
      <c r="A24" s="44">
        <f>BOM!U31</f>
        <v/>
      </c>
      <c r="B24" s="44">
        <f>BOM!X31</f>
        <v/>
      </c>
      <c r="C24" s="44">
        <f>BOM!W31</f>
        <v/>
      </c>
      <c r="D24" s="44">
        <f>BOM!V31</f>
        <v/>
      </c>
      <c r="E24" s="44">
        <f>BOM!B31</f>
        <v/>
      </c>
    </row>
    <row r="25" ht="15" customHeight="1" s="23">
      <c r="A25" s="44">
        <f>BOM!U32</f>
        <v/>
      </c>
      <c r="B25" s="44">
        <f>BOM!X32</f>
        <v/>
      </c>
      <c r="C25" s="44">
        <f>BOM!W32</f>
        <v/>
      </c>
      <c r="D25" s="44">
        <f>BOM!V32</f>
        <v/>
      </c>
      <c r="E25" s="44">
        <f>BOM!B32</f>
        <v/>
      </c>
    </row>
    <row r="26" ht="15" customHeight="1" s="23">
      <c r="A26" s="44">
        <f>BOM!U33</f>
        <v/>
      </c>
      <c r="B26" s="44">
        <f>BOM!X33</f>
        <v/>
      </c>
      <c r="C26" s="44">
        <f>BOM!W33</f>
        <v/>
      </c>
      <c r="D26" s="44">
        <f>BOM!V33</f>
        <v/>
      </c>
      <c r="E26" s="44">
        <f>BOM!B33</f>
        <v/>
      </c>
    </row>
    <row r="27" ht="15" customHeight="1" s="23">
      <c r="A27" s="44">
        <f>BOM!U34</f>
        <v/>
      </c>
      <c r="B27" s="44">
        <f>BOM!X34</f>
        <v/>
      </c>
      <c r="C27" s="44">
        <f>BOM!W34</f>
        <v/>
      </c>
      <c r="D27" s="44">
        <f>BOM!V34</f>
        <v/>
      </c>
      <c r="E27" s="44">
        <f>BOM!B34</f>
        <v/>
      </c>
    </row>
    <row r="28" ht="15" customHeight="1" s="23">
      <c r="A28" s="44">
        <f>BOM!U35</f>
        <v/>
      </c>
      <c r="B28" s="44">
        <f>BOM!X35</f>
        <v/>
      </c>
      <c r="C28" s="44">
        <f>BOM!W35</f>
        <v/>
      </c>
      <c r="D28" s="44">
        <f>BOM!V35</f>
        <v/>
      </c>
      <c r="E28" s="44">
        <f>BOM!B35</f>
        <v/>
      </c>
    </row>
    <row r="29" ht="15" customHeight="1" s="23">
      <c r="A29" s="44">
        <f>BOM!U36</f>
        <v/>
      </c>
      <c r="B29" s="44">
        <f>BOM!X36</f>
        <v/>
      </c>
      <c r="C29" s="44">
        <f>BOM!W36</f>
        <v/>
      </c>
      <c r="D29" s="44">
        <f>BOM!V36</f>
        <v/>
      </c>
      <c r="E29" s="44">
        <f>BOM!B36</f>
        <v/>
      </c>
    </row>
    <row r="30" ht="15" customHeight="1" s="23">
      <c r="A30" s="44">
        <f>BOM!U37</f>
        <v/>
      </c>
      <c r="B30" s="44">
        <f>BOM!X37</f>
        <v/>
      </c>
      <c r="C30" s="44">
        <f>BOM!W37</f>
        <v/>
      </c>
      <c r="D30" s="44">
        <f>BOM!V37</f>
        <v/>
      </c>
      <c r="E30" s="44">
        <f>BOM!B37</f>
        <v/>
      </c>
    </row>
    <row r="31" ht="15" customHeight="1" s="23">
      <c r="A31" s="44">
        <f>BOM!U38</f>
        <v/>
      </c>
      <c r="B31" s="44">
        <f>BOM!X38</f>
        <v/>
      </c>
      <c r="C31" s="44">
        <f>BOM!W38</f>
        <v/>
      </c>
      <c r="D31" s="44">
        <f>BOM!V38</f>
        <v/>
      </c>
      <c r="E31" s="44">
        <f>BOM!B38</f>
        <v/>
      </c>
    </row>
    <row r="32" ht="15" customHeight="1" s="23">
      <c r="A32" s="44">
        <f>BOM!U39</f>
        <v/>
      </c>
      <c r="B32" s="44">
        <f>BOM!X39</f>
        <v/>
      </c>
      <c r="C32" s="44">
        <f>BOM!W39</f>
        <v/>
      </c>
      <c r="D32" s="44">
        <f>BOM!V39</f>
        <v/>
      </c>
      <c r="E32" s="44">
        <f>BOM!B39</f>
        <v/>
      </c>
    </row>
    <row r="33" ht="15" customHeight="1" s="23">
      <c r="A33" s="44">
        <f>BOM!U40</f>
        <v/>
      </c>
      <c r="B33" s="44">
        <f>BOM!X40</f>
        <v/>
      </c>
      <c r="C33" s="44">
        <f>BOM!W40</f>
        <v/>
      </c>
      <c r="D33" s="44">
        <f>BOM!V40</f>
        <v/>
      </c>
      <c r="E33" s="44">
        <f>BOM!B40</f>
        <v/>
      </c>
    </row>
    <row r="34" ht="15" customHeight="1" s="23">
      <c r="A34" s="44">
        <f>BOM!U41</f>
        <v/>
      </c>
      <c r="B34" s="44">
        <f>BOM!X41</f>
        <v/>
      </c>
      <c r="C34" s="44">
        <f>BOM!W41</f>
        <v/>
      </c>
      <c r="D34" s="44">
        <f>BOM!V41</f>
        <v/>
      </c>
      <c r="E34" s="44">
        <f>BOM!B41</f>
        <v/>
      </c>
    </row>
    <row r="35" ht="15" customHeight="1" s="23">
      <c r="A35" s="44">
        <f>BOM!U42</f>
        <v/>
      </c>
      <c r="B35" s="44">
        <f>BOM!X42</f>
        <v/>
      </c>
      <c r="C35" s="44">
        <f>BOM!W42</f>
        <v/>
      </c>
      <c r="D35" s="44">
        <f>BOM!V42</f>
        <v/>
      </c>
      <c r="E35" s="44">
        <f>BOM!B42</f>
        <v/>
      </c>
    </row>
    <row r="36" ht="15" customHeight="1" s="23">
      <c r="A36" s="44">
        <f>BOM!U43</f>
        <v/>
      </c>
      <c r="B36" s="44">
        <f>BOM!X43</f>
        <v/>
      </c>
      <c r="C36" s="44">
        <f>BOM!W43</f>
        <v/>
      </c>
      <c r="D36" s="44">
        <f>BOM!V43</f>
        <v/>
      </c>
      <c r="E36" s="44">
        <f>BOM!B43</f>
        <v/>
      </c>
    </row>
    <row r="37" ht="15" customHeight="1" s="23">
      <c r="A37" s="44">
        <f>BOM!U44</f>
        <v/>
      </c>
      <c r="B37" s="44">
        <f>BOM!X44</f>
        <v/>
      </c>
      <c r="C37" s="44">
        <f>BOM!W44</f>
        <v/>
      </c>
      <c r="D37" s="44">
        <f>BOM!V44</f>
        <v/>
      </c>
      <c r="E37" s="44">
        <f>BOM!B44</f>
        <v/>
      </c>
    </row>
    <row r="38" ht="15" customHeight="1" s="23">
      <c r="A38" s="44">
        <f>BOM!U45</f>
        <v/>
      </c>
      <c r="B38" s="44">
        <f>BOM!X45</f>
        <v/>
      </c>
      <c r="C38" s="44">
        <f>BOM!W45</f>
        <v/>
      </c>
      <c r="D38" s="44">
        <f>BOM!V45</f>
        <v/>
      </c>
      <c r="E38" s="44">
        <f>BOM!B45</f>
        <v/>
      </c>
    </row>
    <row r="39" ht="15" customHeight="1" s="23">
      <c r="A39" s="44">
        <f>BOM!U46</f>
        <v/>
      </c>
      <c r="B39" s="44">
        <f>BOM!X46</f>
        <v/>
      </c>
      <c r="C39" s="44">
        <f>BOM!W46</f>
        <v/>
      </c>
      <c r="D39" s="44">
        <f>BOM!V46</f>
        <v/>
      </c>
      <c r="E39" s="44">
        <f>BOM!B46</f>
        <v/>
      </c>
    </row>
    <row r="40" ht="15" customHeight="1" s="23">
      <c r="A40" s="44">
        <f>BOM!U47</f>
        <v/>
      </c>
      <c r="B40" s="44">
        <f>BOM!X47</f>
        <v/>
      </c>
      <c r="C40" s="44">
        <f>BOM!W47</f>
        <v/>
      </c>
      <c r="D40" s="44">
        <f>BOM!V47</f>
        <v/>
      </c>
      <c r="E40" s="44">
        <f>BOM!B47</f>
        <v/>
      </c>
    </row>
    <row r="41" ht="15" customHeight="1" s="23">
      <c r="A41" s="44">
        <f>BOM!U48</f>
        <v/>
      </c>
      <c r="B41" s="44">
        <f>BOM!X48</f>
        <v/>
      </c>
      <c r="C41" s="44">
        <f>BOM!W48</f>
        <v/>
      </c>
      <c r="D41" s="44">
        <f>BOM!V48</f>
        <v/>
      </c>
      <c r="E41" s="44">
        <f>BOM!B48</f>
        <v/>
      </c>
    </row>
    <row r="42" ht="15" customHeight="1" s="23">
      <c r="A42" s="44">
        <f>BOM!U50</f>
        <v/>
      </c>
      <c r="B42" s="44">
        <f>BOM!X50</f>
        <v/>
      </c>
      <c r="C42" s="44">
        <f>BOM!W50</f>
        <v/>
      </c>
      <c r="D42" s="44">
        <f>BOM!V50</f>
        <v/>
      </c>
      <c r="E42" s="44">
        <f>BOM!B50</f>
        <v/>
      </c>
    </row>
    <row r="43" ht="15" customHeight="1" s="23">
      <c r="A43" s="44">
        <f>BOM!U51</f>
        <v/>
      </c>
      <c r="B43" s="44">
        <f>BOM!X51</f>
        <v/>
      </c>
      <c r="C43" s="44">
        <f>BOM!W51</f>
        <v/>
      </c>
      <c r="D43" s="44">
        <f>BOM!V51</f>
        <v/>
      </c>
      <c r="E43" s="44">
        <f>BOM!B51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2026-09-25T20:04:25Z</dcterms:created>
  <dcterms:modified xmlns:dcterms="http://purl.org/dc/terms/" xmlns:xsi="http://www.w3.org/2001/XMLSchema-instance" xsi:type="dcterms:W3CDTF">2026-10-07T16:28:41+00:00Z</dcterms:modified>
  <cp:revision>0</cp:revision>
</cp:coreProperties>
</file>