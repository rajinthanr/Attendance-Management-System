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Read_me" sheetId="1" state="visible" r:id="rId1"/>
    <sheet xmlns:r="http://schemas.openxmlformats.org/officeDocument/2006/relationships" name="BOM" sheetId="2" state="visible" r:id="rId2"/>
    <sheet xmlns:r="http://schemas.openxmlformats.org/officeDocument/2006/relationships" name="JLCPCB_BOM" sheetId="3" state="visible" r:id="rId3"/>
    <sheet xmlns:r="http://schemas.openxmlformats.org/officeDocument/2006/relationships" name="LCSC_Order" sheetId="4" state="visible" r:id="rId4"/>
  </sheets>
  <definedNames>
    <definedName name="_xlnm._FilterDatabase" localSheetId="1" hidden="1">'BOM'!$A$7:$AK$51</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0.0000"/>
    <numFmt numFmtId="165" formatCode="\$#,##0.00"/>
  </numFmts>
  <fonts count="11">
    <font>
      <name val="Calibri"/>
      <charset val="1"/>
      <family val="2"/>
      <color theme="1"/>
      <sz val="11"/>
    </font>
    <font>
      <name val="Arial"/>
      <family val="0"/>
      <sz val="10"/>
    </font>
    <font>
      <name val="Arial"/>
      <family val="0"/>
      <sz val="10"/>
    </font>
    <font>
      <name val="Arial"/>
      <family val="0"/>
      <sz val="10"/>
    </font>
    <font>
      <name val="Arial"/>
      <charset val="1"/>
      <family val="0"/>
      <b val="1"/>
      <sz val="11"/>
    </font>
    <font>
      <name val="Arial"/>
      <charset val="1"/>
      <family val="0"/>
      <sz val="10"/>
    </font>
    <font>
      <name val="Arial"/>
      <charset val="1"/>
      <family val="0"/>
      <b val="1"/>
      <sz val="14"/>
    </font>
    <font>
      <name val="Arial"/>
      <charset val="1"/>
      <family val="0"/>
      <i val="1"/>
      <sz val="9"/>
    </font>
    <font>
      <name val="Arial"/>
      <charset val="1"/>
      <family val="0"/>
      <b val="1"/>
      <sz val="10"/>
    </font>
    <font>
      <name val="Arial"/>
      <charset val="1"/>
      <family val="0"/>
      <color rgb="FF0000FF"/>
      <sz val="10"/>
    </font>
    <font>
      <name val="Arial"/>
      <charset val="1"/>
      <family val="0"/>
      <b val="1"/>
      <color rgb="FFFFFFFF"/>
      <sz val="10"/>
    </font>
  </fonts>
  <fills count="5">
    <fill>
      <patternFill/>
    </fill>
    <fill>
      <patternFill patternType="gray125"/>
    </fill>
    <fill>
      <patternFill patternType="solid">
        <fgColor rgb="FFFFFF00"/>
        <bgColor rgb="FFFFFF00"/>
      </patternFill>
    </fill>
    <fill>
      <patternFill patternType="solid">
        <fgColor rgb="FF1F4E78"/>
        <bgColor rgb="FF003366"/>
      </patternFill>
    </fill>
    <fill>
      <patternFill patternType="solid">
        <fgColor rgb="FFEEF3F8"/>
        <bgColor rgb="FFFFFFFF"/>
      </patternFill>
    </fill>
  </fills>
  <borders count="2">
    <border>
      <left/>
      <right/>
      <top/>
      <bottom/>
      <diagonal/>
    </border>
    <border>
      <left style="thin">
        <color rgb="FFB7C3D0"/>
      </left>
      <right style="thin">
        <color rgb="FFB7C3D0"/>
      </right>
      <top style="thin">
        <color rgb="FFB7C3D0"/>
      </top>
      <bottom style="thin">
        <color rgb="FFB7C3D0"/>
      </bottom>
      <diagonal/>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47">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2" borderId="0" applyAlignment="1" pivotButton="0" quotePrefix="0" xfId="0">
      <alignment horizontal="general" vertical="bottom"/>
    </xf>
    <xf numFmtId="0" fontId="10" fillId="3" borderId="1" applyAlignment="1" pivotButton="0" quotePrefix="0" xfId="0">
      <alignment horizontal="general" vertical="center" wrapText="1"/>
    </xf>
    <xf numFmtId="0" fontId="5" fillId="0" borderId="1" applyAlignment="1" pivotButton="0" quotePrefix="0" xfId="0">
      <alignment horizontal="general" vertical="top" wrapText="1"/>
    </xf>
    <xf numFmtId="3" fontId="5" fillId="0" borderId="1" applyAlignment="1" pivotButton="0" quotePrefix="0" xfId="0">
      <alignment horizontal="general" vertical="top" wrapText="1"/>
    </xf>
    <xf numFmtId="164" fontId="5" fillId="0" borderId="1" applyAlignment="1" pivotButton="0" quotePrefix="0" xfId="0">
      <alignment horizontal="general" vertical="top" wrapText="1"/>
    </xf>
    <xf numFmtId="0" fontId="9" fillId="2" borderId="1" applyAlignment="1" pivotButton="0" quotePrefix="0" xfId="0">
      <alignment horizontal="center" vertical="top"/>
    </xf>
    <xf numFmtId="165" fontId="5" fillId="0" borderId="1" applyAlignment="1" pivotButton="0" quotePrefix="0" xfId="0">
      <alignment horizontal="general" vertical="top" wrapText="1"/>
    </xf>
    <xf numFmtId="0" fontId="5" fillId="4" borderId="1" applyAlignment="1" pivotButton="0" quotePrefix="0" xfId="0">
      <alignment horizontal="general" vertical="top" wrapText="1"/>
    </xf>
    <xf numFmtId="3" fontId="5" fillId="4" borderId="1" applyAlignment="1" pivotButton="0" quotePrefix="0" xfId="0">
      <alignment horizontal="general" vertical="top" wrapText="1"/>
    </xf>
    <xf numFmtId="164" fontId="5" fillId="4" borderId="1" applyAlignment="1" pivotButton="0" quotePrefix="0" xfId="0">
      <alignment horizontal="general" vertical="top" wrapText="1"/>
    </xf>
    <xf numFmtId="165" fontId="5" fillId="4" borderId="1" applyAlignment="1" pivotButton="0" quotePrefix="0" xfId="0">
      <alignment horizontal="general" vertical="top" wrapText="1"/>
    </xf>
    <xf numFmtId="165" fontId="8" fillId="0" borderId="0" applyAlignment="1" pivotButton="0" quotePrefix="0" xfId="0">
      <alignment horizontal="general" vertical="bottom"/>
    </xf>
    <xf numFmtId="0" fontId="7" fillId="0" borderId="0" applyAlignment="1" pivotButton="0" quotePrefix="0" xfId="0">
      <alignment horizontal="general" vertical="top" wrapText="1"/>
    </xf>
    <xf numFmtId="0" fontId="5" fillId="0" borderId="0" applyAlignment="1" pivotButton="0" quotePrefix="0" xfId="0">
      <alignment horizontal="general" vertical="bottom"/>
    </xf>
    <xf numFmtId="1" fontId="5" fillId="0" borderId="0" applyAlignment="1" pivotButton="0" quotePrefix="0" xfId="0">
      <alignment horizontal="general" vertical="bottom"/>
    </xf>
    <xf numFmtId="0" fontId="10" fillId="3" borderId="1" applyAlignment="1" pivotButton="0" quotePrefix="0" xfId="0">
      <alignment horizontal="general" vertical="bottom"/>
    </xf>
    <xf numFmtId="0" fontId="5"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2" borderId="0" applyAlignment="1" pivotButton="0" quotePrefix="0" xfId="0">
      <alignment horizontal="general" vertical="bottom"/>
    </xf>
    <xf numFmtId="0" fontId="10" fillId="3" borderId="1" applyAlignment="1" pivotButton="0" quotePrefix="0" xfId="0">
      <alignment horizontal="general" vertical="center" wrapText="1"/>
    </xf>
    <xf numFmtId="0" fontId="5" fillId="0" borderId="1" applyAlignment="1" pivotButton="0" quotePrefix="0" xfId="0">
      <alignment horizontal="general" vertical="top" wrapText="1"/>
    </xf>
    <xf numFmtId="3" fontId="5" fillId="0" borderId="1" applyAlignment="1" pivotButton="0" quotePrefix="0" xfId="0">
      <alignment horizontal="general" vertical="top" wrapText="1"/>
    </xf>
    <xf numFmtId="164" fontId="5" fillId="0" borderId="1" applyAlignment="1" pivotButton="0" quotePrefix="0" xfId="0">
      <alignment horizontal="general" vertical="top" wrapText="1"/>
    </xf>
    <xf numFmtId="0" fontId="9" fillId="2" borderId="1" applyAlignment="1" pivotButton="0" quotePrefix="0" xfId="0">
      <alignment horizontal="center" vertical="top"/>
    </xf>
    <xf numFmtId="165" fontId="5" fillId="0" borderId="1" applyAlignment="1" pivotButton="0" quotePrefix="0" xfId="0">
      <alignment horizontal="general" vertical="top" wrapText="1"/>
    </xf>
    <xf numFmtId="0" fontId="5" fillId="4" borderId="1" applyAlignment="1" pivotButton="0" quotePrefix="0" xfId="0">
      <alignment horizontal="general" vertical="top" wrapText="1"/>
    </xf>
    <xf numFmtId="3" fontId="5" fillId="4" borderId="1" applyAlignment="1" pivotButton="0" quotePrefix="0" xfId="0">
      <alignment horizontal="general" vertical="top" wrapText="1"/>
    </xf>
    <xf numFmtId="164" fontId="5" fillId="4" borderId="1" applyAlignment="1" pivotButton="0" quotePrefix="0" xfId="0">
      <alignment horizontal="general" vertical="top" wrapText="1"/>
    </xf>
    <xf numFmtId="165" fontId="5" fillId="4" borderId="1" applyAlignment="1" pivotButton="0" quotePrefix="0" xfId="0">
      <alignment horizontal="general" vertical="top" wrapText="1"/>
    </xf>
    <xf numFmtId="165" fontId="8" fillId="0" borderId="0" applyAlignment="1" pivotButton="0" quotePrefix="0" xfId="0">
      <alignment horizontal="general" vertical="bottom"/>
    </xf>
    <xf numFmtId="0" fontId="7" fillId="0" borderId="0" applyAlignment="1" pivotButton="0" quotePrefix="0" xfId="0">
      <alignment horizontal="general" vertical="top" wrapText="1"/>
    </xf>
    <xf numFmtId="0" fontId="5" fillId="0" borderId="0" applyAlignment="1" pivotButton="0" quotePrefix="0" xfId="0">
      <alignment horizontal="general" vertical="bottom"/>
    </xf>
    <xf numFmtId="1" fontId="5" fillId="0" borderId="0" applyAlignment="1" pivotButton="0" quotePrefix="0" xfId="0">
      <alignment horizontal="general" vertical="bottom"/>
    </xf>
    <xf numFmtId="0" fontId="10" fillId="3" borderId="1" applyAlignment="1" pivotButton="0" quotePrefix="0" xfId="0">
      <alignment horizontal="general" vertical="bottom"/>
    </xf>
    <xf numFmtId="0" fontId="5" fillId="0"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1F4E78"/>
          <bgColor rgb="FF000000"/>
        </patternFill>
      </fill>
    </dxf>
    <dxf>
      <fill>
        <patternFill patternType="solid">
          <fgColor rgb="FFEEF3F8"/>
          <bgColor rgb="FF000000"/>
        </patternFill>
      </fill>
    </dxf>
    <dxf>
      <fill>
        <patternFill patternType="solid">
          <bgColor rgb="FF000000"/>
        </patternFill>
      </fill>
    </dxf>
    <dxf>
      <fill>
        <patternFill patternType="solid">
          <fgColor rgb="FFFFFFFF"/>
          <bgColor rgb="FF000000"/>
        </patternFill>
      </fill>
    </dxf>
    <dxf>
      <fill>
        <patternFill patternType="solid">
          <fgColor rgb="FFC00000"/>
          <bgColor rgb="FF000000"/>
        </patternFill>
      </fill>
    </dxf>
    <dxf>
      <fill>
        <patternFill patternType="solid">
          <fgColor rgb="FFFFFF00"/>
          <bgColor rgb="FF000000"/>
        </patternFill>
      </fill>
    </dxf>
    <dxf>
      <fill>
        <patternFill patternType="solid">
          <fgColor rgb="FF0000FF"/>
          <bgColor rgb="FF000000"/>
        </patternFill>
      </fill>
    </dxf>
    <dxf>
      <font>
        <name val="Arial"/>
        <charset val="1"/>
        <family val="0"/>
        <b val="1"/>
        <color rgb="FFC00000"/>
        <sz val="1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C3D0"/>
      <rgbColor rgb="FF808080"/>
      <rgbColor rgb="FF9999FF"/>
      <rgbColor rgb="FF993366"/>
      <rgbColor rgb="FFEEF3F8"/>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20" customWidth="1" style="23" min="1" max="1"/>
  </cols>
  <sheetData>
    <row r="1" ht="15" customHeight="1" s="24">
      <c r="A1" s="25" t="inlineStr">
        <is>
          <t>Two ways to use this BOM</t>
        </is>
      </c>
    </row>
    <row r="2" ht="23.85" customHeight="1" s="24">
      <c r="A2" s="26" t="inlineStr">
        <is>
          <t>Every orderable symbol in the schematic now carries a hidden LCSC field with the number used here, so the Fabrication Toolkit fills the LCSC column of production/bom.csv itself once the board is updated from the schematic.</t>
        </is>
      </c>
    </row>
    <row r="3" ht="46.25" customHeight="1" s="24">
      <c r="A3" s="26" t="inlineStr">
        <is>
          <t>JLCPCB assembly: upload jlcpcb_bom.csv (next to this workbook, same as the JLCPCB_BOM sheet) with production/positions.csv from the Fabrication Toolkit. U1 is out of stock there, so mark it "do not place" and solder it yourself, or send one to JLCPCB as a consigned part. J2, J3, J4, J7 and TH1 are through-hole: add JLCPCB's through-hole assembly or solder them by hand. Check part rotations in JLCPCB's placement preview before you pay.</t>
        </is>
      </c>
    </row>
    <row r="4" ht="35.05" customHeight="1" s="24">
      <c r="A4" s="26" t="inlineStr">
        <is>
          <t>Buying parts from LCSC to build by hand: set "Boards to build" (B4) on the BOM sheet, review the yellow cells, then copy the LCSC_Order sheet into LCSC's BOM tool (lcsc.com &gt; BOM Tool) or add the parts to the cart. Delete rows whose Quantity is 0 (the optional battery-cable parts are off by default). LCSC sells most passives in minimum lots of 10 to 100, so the order quantities are rounded up to those.</t>
        </is>
      </c>
    </row>
    <row r="5" ht="15" customHeight="1" s="24">
      <c r="A5" s="26" t="inlineStr">
        <is>
          <t>Red stock figures on the BOM sheet mean the chosen part has less stock than you need.</t>
        </is>
      </c>
    </row>
    <row r="6" ht="15" customHeight="1" s="24">
      <c r="A6" s="26" t="n"/>
    </row>
    <row r="7" ht="15" customHeight="1" s="24">
      <c r="A7" s="25" t="inlineStr">
        <is>
          <t>JLCPCB library types</t>
        </is>
      </c>
    </row>
    <row r="8" ht="35.05" customHeight="1" s="24">
      <c r="A8" s="26" t="inlineStr">
        <is>
          <t>Basic parts are already loaded on JLCPCB's machines. Extended parts each carry a one-off loading fee per part type per order; Preferred extended parts have that fee waived on Economic assembly. The BOM sheet counts the Extended types you are ordering. Passives use Basic parts wherever one exists in the right value and 0805 size; the small C0G values, 4.7 MΩ and 2.7 MΩ are not in the Basic library.</t>
        </is>
      </c>
    </row>
    <row r="9" ht="15" customHeight="1" s="24">
      <c r="A9" s="26" t="n"/>
    </row>
    <row r="10" ht="15" customHeight="1" s="24">
      <c r="A10" s="25" t="inlineStr">
        <is>
          <t>Decisions before ordering</t>
        </is>
      </c>
    </row>
    <row r="11" ht="23.85" customHeight="1" s="24">
      <c r="A11" s="26" t="inlineStr">
        <is>
          <t>U1 is the 128 kB STM32L432KBU6 (C2928224), as in production/bom.csv: since 2026-10-07 the firmware keeps its code and attendance log within 128 kB. Its stock, price and JLCPCB library type have not been re-read; check them before ordering.</t>
        </is>
      </c>
    </row>
    <row r="12" ht="23.85" customHeight="1" s="24">
      <c r="A12" s="26" t="inlineStr">
        <is>
          <t>Y2 + C6/C7: no 4 pF-load 3.2x1.5 mm crystal is stocked, so Y2 is a 6 pF Epson FC-135 and C6/C7 were changed to 8.2 pF in the schematic (2026-09-26).</t>
        </is>
      </c>
    </row>
    <row r="13" ht="15" customHeight="1" s="24">
      <c r="A13" s="26" t="inlineStr">
        <is>
          <t>R6: 1 kΩ sets a 1 A charge current, above the 500 mA a USB-C sink with 5.1 kΩ CC resistors may draw. The 2 kΩ alternate gives 500 mA.</t>
        </is>
      </c>
    </row>
    <row r="14" ht="15" customHeight="1" s="24">
      <c r="A14" s="26" t="inlineStr">
        <is>
          <t>U5: ST25R3916-AQWT is in stock at LCSC (about 100) although Digi-Key has none. Order early if you need more than a few boards.</t>
        </is>
      </c>
    </row>
    <row r="15" ht="15" customHeight="1" s="24">
      <c r="A15" s="26" t="n"/>
    </row>
    <row r="16" ht="15" customHeight="1" s="24">
      <c r="A16" s="25" t="inlineStr">
        <is>
          <t>Substitutions against the schematic or the Digi-Key BOM (all checked on lcsc.com / jlcpcb.com)</t>
        </is>
      </c>
    </row>
    <row r="17" ht="46.25" customHeight="1" s="24">
      <c r="A17" s="26" t="inlineStr">
        <is>
          <t>SW1-SW3: PTS636 SK25 (250 gf) because the SM25 (180 gf) is out of stock; same footprint. U2: MCP73833T-AMI/UN, the tape-and-reel version. L3/L4: Murata LQW2BASR47J00L, same rating as the Coilcraft 0805CS-471. Y1: YXC 27.12 MHz, 10 pF, instead of the Abracon ABM8 (1 in stock). D2/D3/D6: Lite-On LTST-C170KGKT, not the Basic green LED (its 2.6-3.1 V forward voltage is too high for D6 on 3.3 V). J1: LCSC shows 0 but JLCPCB assembly holds 710; for hand assembly buy it from Digi-Key.</t>
        </is>
      </c>
    </row>
    <row r="18" ht="15" customHeight="1" s="24">
      <c r="A18" s="26" t="n"/>
    </row>
    <row r="19" ht="15" customHeight="1" s="24">
      <c r="A19" s="25" t="inlineStr">
        <is>
          <t>Not included</t>
        </is>
      </c>
    </row>
    <row r="20" ht="23.85" customHeight="1" s="24">
      <c r="A20" s="26" t="inlineStr">
        <is>
          <t>The PCB, the Li-ion cell (with a JST XA plug), the vibration motor, the optional PN532 breakout module, solder paste and a JST XA crimp tool. J5/J6 (solder pads) and AE3 (etched antenna) are PCB features, not parts.</t>
        </is>
      </c>
    </row>
    <row r="21" ht="15" customHeight="1" s="24">
      <c r="A21" s="26" t="inlineStr">
        <is>
          <t>Checked 2026-09-26. Each row has an LCSC link (last column) for re-checking stock and price.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K56"/>
  <sheetViews>
    <sheetView showFormulas="0" showGridLines="1" showRowColHeaders="1" showZeros="1" rightToLeft="0" tabSelected="1" showOutlineSymbols="1" defaultGridColor="1"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baseColWidth="8" defaultColWidth="8.6796875" defaultRowHeight="15" customHeight="0" zeroHeight="0" outlineLevelRow="0"/>
  <cols>
    <col width="5" customWidth="1" style="23" min="1" max="1"/>
    <col width="30" customWidth="1" style="23" min="2" max="2"/>
    <col width="7" customWidth="1" style="23" min="3" max="3"/>
    <col width="12" customWidth="1" style="23" min="4" max="4"/>
    <col width="38" customWidth="1" style="23" min="5" max="5"/>
    <col width="26" customWidth="1" style="23" min="6" max="6"/>
    <col width="20" customWidth="1" style="23" min="7" max="7"/>
    <col width="22" customWidth="1" style="23" min="8" max="8"/>
    <col width="11" customWidth="1" style="23" min="9" max="11"/>
    <col width="10" customWidth="1" style="23" min="12" max="12"/>
    <col width="8" customWidth="1" style="23" min="13" max="13"/>
    <col width="9" customWidth="1" style="23" min="14" max="16"/>
    <col width="16" customWidth="1" style="23" min="17" max="17"/>
    <col width="18" customWidth="1" style="23" min="18" max="18"/>
    <col width="11" customWidth="1" style="23" min="19" max="20"/>
    <col width="10" customWidth="1" style="23" min="21" max="22"/>
    <col width="8" customWidth="1" style="23" min="23" max="23"/>
    <col width="9" customWidth="1" style="23" min="24" max="24"/>
    <col width="8" customWidth="1" style="23" min="25" max="25"/>
    <col width="7" customWidth="1" style="23" min="26" max="26"/>
    <col width="8" customWidth="1" style="23" min="27" max="28"/>
    <col width="10" customWidth="1" style="23" min="29" max="29"/>
    <col width="20" customWidth="1" style="23" min="30" max="30"/>
    <col width="22" customWidth="1" style="23" min="31" max="31"/>
    <col width="11" customWidth="1" style="23" min="32" max="32"/>
    <col width="12" customWidth="1" style="23" min="33" max="33"/>
    <col width="10" customWidth="1" style="23" min="34" max="34"/>
    <col width="9" customWidth="1" style="23" min="35" max="35"/>
    <col width="60" customWidth="1" style="23" min="36" max="36"/>
    <col width="8" customWidth="1" style="23" min="37" max="37"/>
  </cols>
  <sheetData>
    <row r="1" ht="17.35" customHeight="1" s="24">
      <c r="A1" s="27" t="inlineStr">
        <is>
          <t>Card Attendance System: Bill of Materials (LCSC / JLCPCB)</t>
        </is>
      </c>
    </row>
    <row r="2" ht="15" customHeight="1" s="24">
      <c r="A2" s="28" t="inlineStr">
        <is>
          <t>Source: PCB/Attendance Management System.kicad_sch. Part numbers, stock, minimum order quantities, prices and JLCPCB library types read from lcsc.com and jlcpcb.com on 2026-09-26; they change daily, so re-check before ordering.</t>
        </is>
      </c>
    </row>
    <row r="4" ht="15" customHeight="1" s="24">
      <c r="A4" s="29" t="inlineStr">
        <is>
          <t>Boards to build</t>
        </is>
      </c>
      <c r="B4" s="30" t="n">
        <v>1</v>
      </c>
    </row>
    <row r="5" ht="15" customHeight="1" s="24">
      <c r="A5" s="28" t="inlineStr">
        <is>
          <t>Edit only the yellow cells: Boards to build, Use alternate (Y/N), Include (Y/N), Spares. Needed qty, LCSC order qty (rounded up to the LCSC minimum lot), the part to order and the cost are formulas.</t>
        </is>
      </c>
    </row>
    <row r="7" ht="42" customHeight="1" s="24">
      <c r="A7" s="31" t="inlineStr">
        <is>
          <t>Item</t>
        </is>
      </c>
      <c r="B7" s="31" t="inlineStr">
        <is>
          <t>Designators</t>
        </is>
      </c>
      <c r="C7" s="31" t="inlineStr">
        <is>
          <t>Qty / board</t>
        </is>
      </c>
      <c r="D7" s="31" t="inlineStr">
        <is>
          <t>Value</t>
        </is>
      </c>
      <c r="E7" s="31" t="inlineStr">
        <is>
          <t>Description</t>
        </is>
      </c>
      <c r="F7" s="31" t="inlineStr">
        <is>
          <t>Footprint</t>
        </is>
      </c>
      <c r="G7" s="31" t="inlineStr">
        <is>
          <t>Manufacturer</t>
        </is>
      </c>
      <c r="H7" s="31" t="inlineStr">
        <is>
          <t>MPN</t>
        </is>
      </c>
      <c r="I7" s="31" t="inlineStr">
        <is>
          <t>LCSC #</t>
        </is>
      </c>
      <c r="J7" s="31" t="inlineStr">
        <is>
          <t>JLCPCB library</t>
        </is>
      </c>
      <c r="K7" s="31" t="inlineStr">
        <is>
          <t>LCSC stock (2026-09-26)</t>
        </is>
      </c>
      <c r="L7" s="31" t="inlineStr">
        <is>
          <t>JLCPCB stock</t>
        </is>
      </c>
      <c r="M7" s="31" t="inlineStr">
        <is>
          <t>LCSC min / multiple</t>
        </is>
      </c>
      <c r="N7" s="31" t="inlineStr">
        <is>
          <t>Unit price at min (USD)</t>
        </is>
      </c>
      <c r="O7" s="31" t="inlineStr">
        <is>
          <t>Use alternate (Y/N)</t>
        </is>
      </c>
      <c r="P7" s="31" t="inlineStr">
        <is>
          <t>Alt. value</t>
        </is>
      </c>
      <c r="Q7" s="31" t="inlineStr">
        <is>
          <t>Alt. manufacturer</t>
        </is>
      </c>
      <c r="R7" s="31" t="inlineStr">
        <is>
          <t>Alt. MPN</t>
        </is>
      </c>
      <c r="S7" s="31" t="inlineStr">
        <is>
          <t>Alt. LCSC #</t>
        </is>
      </c>
      <c r="T7" s="31" t="inlineStr">
        <is>
          <t>Alt. JLCPCB library</t>
        </is>
      </c>
      <c r="U7" s="31" t="inlineStr">
        <is>
          <t>Alt. LCSC stock</t>
        </is>
      </c>
      <c r="V7" s="31" t="inlineStr">
        <is>
          <t>Alt. JLCPCB stock</t>
        </is>
      </c>
      <c r="W7" s="31" t="inlineStr">
        <is>
          <t>Alt. min / multiple</t>
        </is>
      </c>
      <c r="X7" s="31" t="inlineStr">
        <is>
          <t>Alt. unit price (USD)</t>
        </is>
      </c>
      <c r="Y7" s="31" t="inlineStr">
        <is>
          <t>Include (Y/N)</t>
        </is>
      </c>
      <c r="Z7" s="31" t="inlineStr">
        <is>
          <t>Spares</t>
        </is>
      </c>
      <c r="AA7" s="31" t="inlineStr">
        <is>
          <t>Needed qty</t>
        </is>
      </c>
      <c r="AB7" s="31" t="inlineStr">
        <is>
          <t>LCSC order qty</t>
        </is>
      </c>
      <c r="AC7" s="31" t="inlineStr">
        <is>
          <t>Order: value</t>
        </is>
      </c>
      <c r="AD7" s="31" t="inlineStr">
        <is>
          <t>Order: manufacturer</t>
        </is>
      </c>
      <c r="AE7" s="31" t="inlineStr">
        <is>
          <t>Order: MPN</t>
        </is>
      </c>
      <c r="AF7" s="31" t="inlineStr">
        <is>
          <t>Order: LCSC #</t>
        </is>
      </c>
      <c r="AG7" s="31" t="inlineStr">
        <is>
          <t>Order: JLCPCB library</t>
        </is>
      </c>
      <c r="AH7" s="31" t="inlineStr">
        <is>
          <t>Boards the JLCPCB stock covers</t>
        </is>
      </c>
      <c r="AI7" s="31" t="inlineStr">
        <is>
          <t>Est. cost (USD)</t>
        </is>
      </c>
      <c r="AJ7" s="31" t="inlineStr">
        <is>
          <t>Notes</t>
        </is>
      </c>
      <c r="AK7" s="31" t="inlineStr">
        <is>
          <t>LCSC link</t>
        </is>
      </c>
    </row>
    <row r="8" ht="23.85" customHeight="1" s="24">
      <c r="A8" s="32" t="n">
        <v>1</v>
      </c>
      <c r="B8" s="32" t="inlineStr">
        <is>
          <t>C1,C3,C8,C11,C22,C23,C24,C25,C28,C29,C30,C34</t>
        </is>
      </c>
      <c r="C8" s="32" t="n">
        <v>12</v>
      </c>
      <c r="D8" s="32" t="inlineStr">
        <is>
          <t>100n</t>
        </is>
      </c>
      <c r="E8" s="32" t="inlineStr">
        <is>
          <t>Capacitor, 100 nF 50 V X7R ±10%</t>
        </is>
      </c>
      <c r="F8" s="32" t="inlineStr">
        <is>
          <t>0805</t>
        </is>
      </c>
      <c r="G8" s="32" t="inlineStr">
        <is>
          <t>YAGEO</t>
        </is>
      </c>
      <c r="H8" s="32" t="inlineStr">
        <is>
          <t>CC0805KRX7R9BB104</t>
        </is>
      </c>
      <c r="I8" s="32" t="inlineStr">
        <is>
          <t>C49678</t>
        </is>
      </c>
      <c r="J8" s="32" t="inlineStr">
        <is>
          <t>Basic</t>
        </is>
      </c>
      <c r="K8" s="33" t="n">
        <v>9771320</v>
      </c>
      <c r="L8" s="33" t="n">
        <v>18198779</v>
      </c>
      <c r="M8" s="32" t="n">
        <v>20</v>
      </c>
      <c r="N8" s="34" t="n">
        <v>0.0192</v>
      </c>
      <c r="O8" s="35" t="inlineStr">
        <is>
          <t>N</t>
        </is>
      </c>
      <c r="P8" s="32" t="n"/>
      <c r="Q8" s="32" t="n"/>
      <c r="R8" s="32" t="n"/>
      <c r="S8" s="32" t="n"/>
      <c r="T8" s="32" t="n"/>
      <c r="U8" s="33" t="n"/>
      <c r="V8" s="33" t="n"/>
      <c r="W8" s="32" t="n"/>
      <c r="X8" s="34" t="n"/>
      <c r="Y8" s="35" t="inlineStr">
        <is>
          <t>Y</t>
        </is>
      </c>
      <c r="Z8" s="35" t="n">
        <v>0</v>
      </c>
      <c r="AA8" s="32">
        <f>IF(Y8="Y",C8*$B$4+Z8,0)</f>
        <v/>
      </c>
      <c r="AB8" s="32">
        <f>IF(AA8=0,0,MAX(IF(O8="Y",W8,M8),CEILING(AA8,IF(O8="Y",W8,M8))))</f>
        <v/>
      </c>
      <c r="AC8" s="32">
        <f>IF(O8="Y",P8,D8)&amp;""</f>
        <v/>
      </c>
      <c r="AD8" s="32">
        <f>IF(O8="Y",Q8,G8)&amp;""</f>
        <v/>
      </c>
      <c r="AE8" s="32">
        <f>IF(O8="Y",R8,H8)&amp;""</f>
        <v/>
      </c>
      <c r="AF8" s="32">
        <f>IF(O8="Y",S8,I8)&amp;""</f>
        <v/>
      </c>
      <c r="AG8" s="32">
        <f>IF(O8="Y",T8,J8)&amp;""</f>
        <v/>
      </c>
      <c r="AH8" s="33">
        <f>IF(OR(AF8="",Y8&lt;&gt;"Y"),"",INT(IF(O8="Y",V8,L8)/C8))</f>
        <v/>
      </c>
      <c r="AI8" s="36">
        <f>AB8*IF(O8="Y",X8,N8)</f>
        <v/>
      </c>
      <c r="AJ8" s="32" t="inlineStr">
        <is>
          <t>Schematic asks X7R 16 V; the 50 V Basic part has less DC-bias loss.</t>
        </is>
      </c>
      <c r="AK8" s="32">
        <f>IF(AF8="","",HYPERLINK("https://www.lcsc.com/product-detail/"&amp;AF8&amp;".html","open"))</f>
        <v/>
      </c>
    </row>
    <row r="9" ht="23.85" customHeight="1" s="24">
      <c r="A9" s="37" t="n">
        <v>2</v>
      </c>
      <c r="B9" s="37" t="inlineStr">
        <is>
          <t>C2,C35</t>
        </is>
      </c>
      <c r="C9" s="37" t="n">
        <v>2</v>
      </c>
      <c r="D9" s="37" t="inlineStr">
        <is>
          <t>4.7u</t>
        </is>
      </c>
      <c r="E9" s="37" t="inlineStr">
        <is>
          <t>Capacitor, 4.7 µF 25 V X5R ±10%</t>
        </is>
      </c>
      <c r="F9" s="37" t="inlineStr">
        <is>
          <t>0805</t>
        </is>
      </c>
      <c r="G9" s="37" t="inlineStr">
        <is>
          <t>Samsung Electro-Mechanics</t>
        </is>
      </c>
      <c r="H9" s="37" t="inlineStr">
        <is>
          <t>CL21A475KAQNNNE</t>
        </is>
      </c>
      <c r="I9" s="37" t="inlineStr">
        <is>
          <t>C1779</t>
        </is>
      </c>
      <c r="J9" s="37" t="inlineStr">
        <is>
          <t>Basic</t>
        </is>
      </c>
      <c r="K9" s="38" t="n">
        <v>1968760</v>
      </c>
      <c r="L9" s="38" t="n">
        <v>2946783</v>
      </c>
      <c r="M9" s="37" t="n">
        <v>20</v>
      </c>
      <c r="N9" s="39" t="n">
        <v>0.0348</v>
      </c>
      <c r="O9" s="35" t="inlineStr">
        <is>
          <t>N</t>
        </is>
      </c>
      <c r="P9" s="37" t="n"/>
      <c r="Q9" s="37" t="n"/>
      <c r="R9" s="37" t="n"/>
      <c r="S9" s="37" t="n"/>
      <c r="T9" s="37" t="n"/>
      <c r="U9" s="38" t="n"/>
      <c r="V9" s="38" t="n"/>
      <c r="W9" s="37" t="n"/>
      <c r="X9" s="39" t="n"/>
      <c r="Y9" s="35" t="inlineStr">
        <is>
          <t>Y</t>
        </is>
      </c>
      <c r="Z9" s="35" t="n">
        <v>0</v>
      </c>
      <c r="AA9" s="37">
        <f>IF(Y9="Y",C9*$B$4+Z9,0)</f>
        <v/>
      </c>
      <c r="AB9" s="37">
        <f>IF(AA9=0,0,MAX(IF(O9="Y",W9,M9),CEILING(AA9,IF(O9="Y",W9,M9))))</f>
        <v/>
      </c>
      <c r="AC9" s="37">
        <f>IF(O9="Y",P9,D9)&amp;""</f>
        <v/>
      </c>
      <c r="AD9" s="37">
        <f>IF(O9="Y",Q9,G9)&amp;""</f>
        <v/>
      </c>
      <c r="AE9" s="37">
        <f>IF(O9="Y",R9,H9)&amp;""</f>
        <v/>
      </c>
      <c r="AF9" s="37">
        <f>IF(O9="Y",S9,I9)&amp;""</f>
        <v/>
      </c>
      <c r="AG9" s="37">
        <f>IF(O9="Y",T9,J9)&amp;""</f>
        <v/>
      </c>
      <c r="AH9" s="38">
        <f>IF(OR(AF9="",Y9&lt;&gt;"Y"),"",INT(IF(O9="Y",V9,L9)/C9))</f>
        <v/>
      </c>
      <c r="AI9" s="40">
        <f>AB9*IF(O9="Y",X9,N9)</f>
        <v/>
      </c>
      <c r="AJ9" s="37" t="inlineStr">
        <is>
          <t>One 25 V part covers C2 (10 V) and C35 (16 V).</t>
        </is>
      </c>
      <c r="AK9" s="37">
        <f>IF(AF9="","",HYPERLINK("https://www.lcsc.com/product-detail/"&amp;AF9&amp;".html","open"))</f>
        <v/>
      </c>
    </row>
    <row r="10" ht="23.85" customHeight="1" s="24">
      <c r="A10" s="32" t="n">
        <v>3</v>
      </c>
      <c r="B10" s="32" t="inlineStr">
        <is>
          <t>C4</t>
        </is>
      </c>
      <c r="C10" s="32" t="n">
        <v>1</v>
      </c>
      <c r="D10" s="32" t="inlineStr">
        <is>
          <t>10n</t>
        </is>
      </c>
      <c r="E10" s="32" t="inlineStr">
        <is>
          <t>Capacitor, 10 nF 50 V X7R ±10%</t>
        </is>
      </c>
      <c r="F10" s="32" t="inlineStr">
        <is>
          <t>0805</t>
        </is>
      </c>
      <c r="G10" s="32" t="inlineStr">
        <is>
          <t>Samsung Electro-Mechanics</t>
        </is>
      </c>
      <c r="H10" s="32" t="inlineStr">
        <is>
          <t>CL21B103KBANNNC</t>
        </is>
      </c>
      <c r="I10" s="32" t="inlineStr">
        <is>
          <t>C1710</t>
        </is>
      </c>
      <c r="J10" s="32" t="inlineStr">
        <is>
          <t>Basic</t>
        </is>
      </c>
      <c r="K10" s="33" t="n">
        <v>1184600</v>
      </c>
      <c r="L10" s="33" t="n">
        <v>2362717</v>
      </c>
      <c r="M10" s="32" t="n">
        <v>50</v>
      </c>
      <c r="N10" s="34" t="n">
        <v>0.0116</v>
      </c>
      <c r="O10" s="35" t="inlineStr">
        <is>
          <t>N</t>
        </is>
      </c>
      <c r="P10" s="32" t="n"/>
      <c r="Q10" s="32" t="n"/>
      <c r="R10" s="32" t="n"/>
      <c r="S10" s="32" t="n"/>
      <c r="T10" s="32" t="n"/>
      <c r="U10" s="33" t="n"/>
      <c r="V10" s="33" t="n"/>
      <c r="W10" s="32" t="n"/>
      <c r="X10" s="34" t="n"/>
      <c r="Y10" s="35" t="inlineStr">
        <is>
          <t>Y</t>
        </is>
      </c>
      <c r="Z10" s="35" t="n">
        <v>0</v>
      </c>
      <c r="AA10" s="32">
        <f>IF(Y10="Y",C10*$B$4+Z10,0)</f>
        <v/>
      </c>
      <c r="AB10" s="32">
        <f>IF(AA10=0,0,MAX(IF(O10="Y",W10,M10),CEILING(AA10,IF(O10="Y",W10,M10))))</f>
        <v/>
      </c>
      <c r="AC10" s="32">
        <f>IF(O10="Y",P10,D10)&amp;""</f>
        <v/>
      </c>
      <c r="AD10" s="32">
        <f>IF(O10="Y",Q10,G10)&amp;""</f>
        <v/>
      </c>
      <c r="AE10" s="32">
        <f>IF(O10="Y",R10,H10)&amp;""</f>
        <v/>
      </c>
      <c r="AF10" s="32">
        <f>IF(O10="Y",S10,I10)&amp;""</f>
        <v/>
      </c>
      <c r="AG10" s="32">
        <f>IF(O10="Y",T10,J10)&amp;""</f>
        <v/>
      </c>
      <c r="AH10" s="33">
        <f>IF(OR(AF10="",Y10&lt;&gt;"Y"),"",INT(IF(O10="Y",V10,L10)/C10))</f>
        <v/>
      </c>
      <c r="AI10" s="36">
        <f>AB10*IF(O10="Y",X10,N10)</f>
        <v/>
      </c>
      <c r="AJ10" s="32" t="n"/>
      <c r="AK10" s="32">
        <f>IF(AF10="","",HYPERLINK("https://www.lcsc.com/product-detail/"&amp;AF10&amp;".html","open"))</f>
        <v/>
      </c>
    </row>
    <row r="11" ht="23.85" customHeight="1" s="24">
      <c r="A11" s="37" t="n">
        <v>4</v>
      </c>
      <c r="B11" s="37" t="inlineStr">
        <is>
          <t>C5,C33</t>
        </is>
      </c>
      <c r="C11" s="37" t="n">
        <v>2</v>
      </c>
      <c r="D11" s="37" t="inlineStr">
        <is>
          <t>1u</t>
        </is>
      </c>
      <c r="E11" s="37" t="inlineStr">
        <is>
          <t>Capacitor, 1 µF 50 V X7R ±10%</t>
        </is>
      </c>
      <c r="F11" s="37" t="inlineStr">
        <is>
          <t>0805</t>
        </is>
      </c>
      <c r="G11" s="37" t="inlineStr">
        <is>
          <t>Samsung Electro-Mechanics</t>
        </is>
      </c>
      <c r="H11" s="37" t="inlineStr">
        <is>
          <t>CL21B105KBFNNNE</t>
        </is>
      </c>
      <c r="I11" s="37" t="inlineStr">
        <is>
          <t>C28323</t>
        </is>
      </c>
      <c r="J11" s="37" t="inlineStr">
        <is>
          <t>Basic</t>
        </is>
      </c>
      <c r="K11" s="38" t="n">
        <v>271530</v>
      </c>
      <c r="L11" s="38" t="n">
        <v>2506668</v>
      </c>
      <c r="M11" s="37" t="n">
        <v>10</v>
      </c>
      <c r="N11" s="39" t="n">
        <v>0.0403</v>
      </c>
      <c r="O11" s="35" t="inlineStr">
        <is>
          <t>N</t>
        </is>
      </c>
      <c r="P11" s="37" t="n"/>
      <c r="Q11" s="37" t="n"/>
      <c r="R11" s="37" t="n"/>
      <c r="S11" s="37" t="n"/>
      <c r="T11" s="37" t="n"/>
      <c r="U11" s="38" t="n"/>
      <c r="V11" s="38" t="n"/>
      <c r="W11" s="37" t="n"/>
      <c r="X11" s="39" t="n"/>
      <c r="Y11" s="35" t="inlineStr">
        <is>
          <t>Y</t>
        </is>
      </c>
      <c r="Z11" s="35" t="n">
        <v>0</v>
      </c>
      <c r="AA11" s="37">
        <f>IF(Y11="Y",C11*$B$4+Z11,0)</f>
        <v/>
      </c>
      <c r="AB11" s="37">
        <f>IF(AA11=0,0,MAX(IF(O11="Y",W11,M11),CEILING(AA11,IF(O11="Y",W11,M11))))</f>
        <v/>
      </c>
      <c r="AC11" s="37">
        <f>IF(O11="Y",P11,D11)&amp;""</f>
        <v/>
      </c>
      <c r="AD11" s="37">
        <f>IF(O11="Y",Q11,G11)&amp;""</f>
        <v/>
      </c>
      <c r="AE11" s="37">
        <f>IF(O11="Y",R11,H11)&amp;""</f>
        <v/>
      </c>
      <c r="AF11" s="37">
        <f>IF(O11="Y",S11,I11)&amp;""</f>
        <v/>
      </c>
      <c r="AG11" s="37">
        <f>IF(O11="Y",T11,J11)&amp;""</f>
        <v/>
      </c>
      <c r="AH11" s="38">
        <f>IF(OR(AF11="",Y11&lt;&gt;"Y"),"",INT(IF(O11="Y",V11,L11)/C11))</f>
        <v/>
      </c>
      <c r="AI11" s="40">
        <f>AB11*IF(O11="Y",X11,N11)</f>
        <v/>
      </c>
      <c r="AJ11" s="37" t="n"/>
      <c r="AK11" s="37">
        <f>IF(AF11="","",HYPERLINK("https://www.lcsc.com/product-detail/"&amp;AF11&amp;".html","open"))</f>
        <v/>
      </c>
    </row>
    <row r="12" ht="23.85" customHeight="1" s="24">
      <c r="A12" s="32" t="n">
        <v>5</v>
      </c>
      <c r="B12" s="32" t="inlineStr">
        <is>
          <t>C6,C7</t>
        </is>
      </c>
      <c r="C12" s="32" t="n">
        <v>2</v>
      </c>
      <c r="D12" s="32" t="inlineStr">
        <is>
          <t>8.2p</t>
        </is>
      </c>
      <c r="E12" s="32" t="inlineStr">
        <is>
          <t>Capacitor, 8.2 pF 50 V C0G ±0.25 pF (32.768 kHz load caps)</t>
        </is>
      </c>
      <c r="F12" s="32" t="inlineStr">
        <is>
          <t>0805</t>
        </is>
      </c>
      <c r="G12" s="32" t="inlineStr">
        <is>
          <t>FH</t>
        </is>
      </c>
      <c r="H12" s="32" t="inlineStr">
        <is>
          <t>0805CG8R2C500NT</t>
        </is>
      </c>
      <c r="I12" s="32" t="inlineStr">
        <is>
          <t>C1840</t>
        </is>
      </c>
      <c r="J12" s="32" t="inlineStr">
        <is>
          <t>Extended</t>
        </is>
      </c>
      <c r="K12" s="33" t="n">
        <v>34100</v>
      </c>
      <c r="L12" s="33" t="n">
        <v>34887</v>
      </c>
      <c r="M12" s="32" t="n">
        <v>50</v>
      </c>
      <c r="N12" s="34" t="n">
        <v>0.011</v>
      </c>
      <c r="O12" s="35" t="inlineStr">
        <is>
          <t>N</t>
        </is>
      </c>
      <c r="P12" s="32" t="n"/>
      <c r="Q12" s="32" t="n"/>
      <c r="R12" s="32" t="n"/>
      <c r="S12" s="32" t="n"/>
      <c r="T12" s="32" t="n"/>
      <c r="U12" s="33" t="n"/>
      <c r="V12" s="33" t="n"/>
      <c r="W12" s="32" t="n"/>
      <c r="X12" s="34" t="n"/>
      <c r="Y12" s="35" t="inlineStr">
        <is>
          <t>Y</t>
        </is>
      </c>
      <c r="Z12" s="35" t="n">
        <v>0</v>
      </c>
      <c r="AA12" s="32">
        <f>IF(Y12="Y",C12*$B$4+Z12,0)</f>
        <v/>
      </c>
      <c r="AB12" s="32">
        <f>IF(AA12=0,0,MAX(IF(O12="Y",W12,M12),CEILING(AA12,IF(O12="Y",W12,M12))))</f>
        <v/>
      </c>
      <c r="AC12" s="32">
        <f>IF(O12="Y",P12,D12)&amp;""</f>
        <v/>
      </c>
      <c r="AD12" s="32">
        <f>IF(O12="Y",Q12,G12)&amp;""</f>
        <v/>
      </c>
      <c r="AE12" s="32">
        <f>IF(O12="Y",R12,H12)&amp;""</f>
        <v/>
      </c>
      <c r="AF12" s="32">
        <f>IF(O12="Y",S12,I12)&amp;""</f>
        <v/>
      </c>
      <c r="AG12" s="32">
        <f>IF(O12="Y",T12,J12)&amp;""</f>
        <v/>
      </c>
      <c r="AH12" s="33">
        <f>IF(OR(AF12="",Y12&lt;&gt;"Y"),"",INT(IF(O12="Y",V12,L12)/C12))</f>
        <v/>
      </c>
      <c r="AI12" s="36">
        <f>AB12*IF(O12="Y",X12,N12)</f>
        <v/>
      </c>
      <c r="AJ12" s="32" t="inlineStr">
        <is>
          <t>Y2 has CL = 6 pF, so C6/C7 need about 2 x (6 - 2 pF stray) = 8 pF. Changed from 4.3p in the schematic on 2026-09-26.</t>
        </is>
      </c>
      <c r="AK12" s="32">
        <f>IF(AF12="","",HYPERLINK("https://www.lcsc.com/product-detail/"&amp;AF12&amp;".html","open"))</f>
        <v/>
      </c>
    </row>
    <row r="13" ht="23.85" customHeight="1" s="24">
      <c r="A13" s="37" t="n">
        <v>6</v>
      </c>
      <c r="B13" s="37" t="inlineStr">
        <is>
          <t>C9,C10</t>
        </is>
      </c>
      <c r="C13" s="37" t="n">
        <v>2</v>
      </c>
      <c r="D13" s="37" t="inlineStr">
        <is>
          <t>15p</t>
        </is>
      </c>
      <c r="E13" s="37" t="inlineStr">
        <is>
          <t>Capacitor, 15 pF 50 V C0G ±5% (27.12 MHz load caps)</t>
        </is>
      </c>
      <c r="F13" s="37" t="inlineStr">
        <is>
          <t>0805</t>
        </is>
      </c>
      <c r="G13" s="37" t="inlineStr">
        <is>
          <t>YAGEO</t>
        </is>
      </c>
      <c r="H13" s="37" t="inlineStr">
        <is>
          <t>CC0805JRNPO9BN150</t>
        </is>
      </c>
      <c r="I13" s="37" t="inlineStr">
        <is>
          <t>C107110</t>
        </is>
      </c>
      <c r="J13" s="37" t="inlineStr">
        <is>
          <t>Preferred ext.</t>
        </is>
      </c>
      <c r="K13" s="38" t="n">
        <v>118450</v>
      </c>
      <c r="L13" s="38" t="n">
        <v>165907</v>
      </c>
      <c r="M13" s="37" t="n">
        <v>50</v>
      </c>
      <c r="N13" s="39" t="n">
        <v>0.0095</v>
      </c>
      <c r="O13" s="35" t="inlineStr">
        <is>
          <t>N</t>
        </is>
      </c>
      <c r="P13" s="37" t="n"/>
      <c r="Q13" s="37" t="n"/>
      <c r="R13" s="37" t="n"/>
      <c r="S13" s="37" t="n"/>
      <c r="T13" s="37" t="n"/>
      <c r="U13" s="38" t="n"/>
      <c r="V13" s="38" t="n"/>
      <c r="W13" s="37" t="n"/>
      <c r="X13" s="39" t="n"/>
      <c r="Y13" s="35" t="inlineStr">
        <is>
          <t>Y</t>
        </is>
      </c>
      <c r="Z13" s="35" t="n">
        <v>0</v>
      </c>
      <c r="AA13" s="37">
        <f>IF(Y13="Y",C13*$B$4+Z13,0)</f>
        <v/>
      </c>
      <c r="AB13" s="37">
        <f>IF(AA13=0,0,MAX(IF(O13="Y",W13,M13),CEILING(AA13,IF(O13="Y",W13,M13))))</f>
        <v/>
      </c>
      <c r="AC13" s="37">
        <f>IF(O13="Y",P13,D13)&amp;""</f>
        <v/>
      </c>
      <c r="AD13" s="37">
        <f>IF(O13="Y",Q13,G13)&amp;""</f>
        <v/>
      </c>
      <c r="AE13" s="37">
        <f>IF(O13="Y",R13,H13)&amp;""</f>
        <v/>
      </c>
      <c r="AF13" s="37">
        <f>IF(O13="Y",S13,I13)&amp;""</f>
        <v/>
      </c>
      <c r="AG13" s="37">
        <f>IF(O13="Y",T13,J13)&amp;""</f>
        <v/>
      </c>
      <c r="AH13" s="38">
        <f>IF(OR(AF13="",Y13&lt;&gt;"Y"),"",INT(IF(O13="Y",V13,L13)/C13))</f>
        <v/>
      </c>
      <c r="AI13" s="40">
        <f>AB13*IF(O13="Y",X13,N13)</f>
        <v/>
      </c>
      <c r="AJ13" s="37" t="n"/>
      <c r="AK13" s="37">
        <f>IF(AF13="","",HYPERLINK("https://www.lcsc.com/product-detail/"&amp;AF13&amp;".html","open"))</f>
        <v/>
      </c>
    </row>
    <row r="14" ht="15" customHeight="1" s="24">
      <c r="A14" s="32" t="n">
        <v>7</v>
      </c>
      <c r="B14" s="32" t="inlineStr">
        <is>
          <t>C12,C13,C38,C39</t>
        </is>
      </c>
      <c r="C14" s="32" t="n">
        <v>4</v>
      </c>
      <c r="D14" s="32" t="inlineStr">
        <is>
          <t>150p</t>
        </is>
      </c>
      <c r="E14" s="32" t="inlineStr">
        <is>
          <t>Capacitor, 150 pF 50 V C0G ±5%</t>
        </is>
      </c>
      <c r="F14" s="32" t="inlineStr">
        <is>
          <t>0805</t>
        </is>
      </c>
      <c r="G14" s="32" t="inlineStr">
        <is>
          <t>YAGEO</t>
        </is>
      </c>
      <c r="H14" s="32" t="inlineStr">
        <is>
          <t>CC0805JRNPO9BN151</t>
        </is>
      </c>
      <c r="I14" s="32" t="inlineStr">
        <is>
          <t>C107111</t>
        </is>
      </c>
      <c r="J14" s="32" t="inlineStr">
        <is>
          <t>Extended</t>
        </is>
      </c>
      <c r="K14" s="33" t="n">
        <v>183200</v>
      </c>
      <c r="L14" s="33" t="n">
        <v>184665</v>
      </c>
      <c r="M14" s="32" t="n">
        <v>50</v>
      </c>
      <c r="N14" s="34" t="n">
        <v>0.0081</v>
      </c>
      <c r="O14" s="35" t="inlineStr">
        <is>
          <t>N</t>
        </is>
      </c>
      <c r="P14" s="32" t="n"/>
      <c r="Q14" s="32" t="n"/>
      <c r="R14" s="32" t="n"/>
      <c r="S14" s="32" t="n"/>
      <c r="T14" s="32" t="n"/>
      <c r="U14" s="33" t="n"/>
      <c r="V14" s="33" t="n"/>
      <c r="W14" s="32" t="n"/>
      <c r="X14" s="34" t="n"/>
      <c r="Y14" s="35" t="inlineStr">
        <is>
          <t>Y</t>
        </is>
      </c>
      <c r="Z14" s="35" t="n">
        <v>0</v>
      </c>
      <c r="AA14" s="32">
        <f>IF(Y14="Y",C14*$B$4+Z14,0)</f>
        <v/>
      </c>
      <c r="AB14" s="32">
        <f>IF(AA14=0,0,MAX(IF(O14="Y",W14,M14),CEILING(AA14,IF(O14="Y",W14,M14))))</f>
        <v/>
      </c>
      <c r="AC14" s="32">
        <f>IF(O14="Y",P14,D14)&amp;""</f>
        <v/>
      </c>
      <c r="AD14" s="32">
        <f>IF(O14="Y",Q14,G14)&amp;""</f>
        <v/>
      </c>
      <c r="AE14" s="32">
        <f>IF(O14="Y",R14,H14)&amp;""</f>
        <v/>
      </c>
      <c r="AF14" s="32">
        <f>IF(O14="Y",S14,I14)&amp;""</f>
        <v/>
      </c>
      <c r="AG14" s="32">
        <f>IF(O14="Y",T14,J14)&amp;""</f>
        <v/>
      </c>
      <c r="AH14" s="33">
        <f>IF(OR(AF14="",Y14&lt;&gt;"Y"),"",INT(IF(O14="Y",V14,L14)/C14))</f>
        <v/>
      </c>
      <c r="AI14" s="36">
        <f>AB14*IF(O14="Y",X14,N14)</f>
        <v/>
      </c>
      <c r="AJ14" s="32" t="inlineStr">
        <is>
          <t>EMC filter (C12/C13) and RX divider (C38/C39).</t>
        </is>
      </c>
      <c r="AK14" s="32">
        <f>IF(AF14="","",HYPERLINK("https://www.lcsc.com/product-detail/"&amp;AF14&amp;".html","open"))</f>
        <v/>
      </c>
    </row>
    <row r="15" ht="15" customHeight="1" s="24">
      <c r="A15" s="37" t="n">
        <v>8</v>
      </c>
      <c r="B15" s="37" t="inlineStr">
        <is>
          <t>C15,C37</t>
        </is>
      </c>
      <c r="C15" s="37" t="n">
        <v>2</v>
      </c>
      <c r="D15" s="37" t="inlineStr">
        <is>
          <t>10p</t>
        </is>
      </c>
      <c r="E15" s="37" t="inlineStr">
        <is>
          <t>Capacitor, 10 pF 50 V C0G ±5% (RX divider)</t>
        </is>
      </c>
      <c r="F15" s="37" t="inlineStr">
        <is>
          <t>0805</t>
        </is>
      </c>
      <c r="G15" s="37" t="inlineStr">
        <is>
          <t>YAGEO</t>
        </is>
      </c>
      <c r="H15" s="37" t="inlineStr">
        <is>
          <t>CC0805JRNPO9BN100</t>
        </is>
      </c>
      <c r="I15" s="37" t="inlineStr">
        <is>
          <t>C107107</t>
        </is>
      </c>
      <c r="J15" s="37" t="inlineStr">
        <is>
          <t>Extended</t>
        </is>
      </c>
      <c r="K15" s="38" t="n">
        <v>467700</v>
      </c>
      <c r="L15" s="38" t="n">
        <v>494538</v>
      </c>
      <c r="M15" s="37" t="n">
        <v>100</v>
      </c>
      <c r="N15" s="39" t="n">
        <v>0.0184</v>
      </c>
      <c r="O15" s="35" t="inlineStr">
        <is>
          <t>N</t>
        </is>
      </c>
      <c r="P15" s="37" t="n"/>
      <c r="Q15" s="37" t="n"/>
      <c r="R15" s="37" t="n"/>
      <c r="S15" s="37" t="n"/>
      <c r="T15" s="37" t="n"/>
      <c r="U15" s="38" t="n"/>
      <c r="V15" s="38" t="n"/>
      <c r="W15" s="37" t="n"/>
      <c r="X15" s="39" t="n"/>
      <c r="Y15" s="35" t="inlineStr">
        <is>
          <t>Y</t>
        </is>
      </c>
      <c r="Z15" s="35" t="n">
        <v>0</v>
      </c>
      <c r="AA15" s="37">
        <f>IF(Y15="Y",C15*$B$4+Z15,0)</f>
        <v/>
      </c>
      <c r="AB15" s="37">
        <f>IF(AA15=0,0,MAX(IF(O15="Y",W15,M15),CEILING(AA15,IF(O15="Y",W15,M15))))</f>
        <v/>
      </c>
      <c r="AC15" s="37">
        <f>IF(O15="Y",P15,D15)&amp;""</f>
        <v/>
      </c>
      <c r="AD15" s="37">
        <f>IF(O15="Y",Q15,G15)&amp;""</f>
        <v/>
      </c>
      <c r="AE15" s="37">
        <f>IF(O15="Y",R15,H15)&amp;""</f>
        <v/>
      </c>
      <c r="AF15" s="37">
        <f>IF(O15="Y",S15,I15)&amp;""</f>
        <v/>
      </c>
      <c r="AG15" s="37">
        <f>IF(O15="Y",T15,J15)&amp;""</f>
        <v/>
      </c>
      <c r="AH15" s="38">
        <f>IF(OR(AF15="",Y15&lt;&gt;"Y"),"",INT(IF(O15="Y",V15,L15)/C15))</f>
        <v/>
      </c>
      <c r="AI15" s="40">
        <f>AB15*IF(O15="Y",X15,N15)</f>
        <v/>
      </c>
      <c r="AJ15" s="37" t="n"/>
      <c r="AK15" s="37">
        <f>IF(AF15="","",HYPERLINK("https://www.lcsc.com/product-detail/"&amp;AF15&amp;".html","open"))</f>
        <v/>
      </c>
    </row>
    <row r="16" ht="23.85" customHeight="1" s="24">
      <c r="A16" s="32" t="n">
        <v>9</v>
      </c>
      <c r="B16" s="32" t="inlineStr">
        <is>
          <t>C16,C17</t>
        </is>
      </c>
      <c r="C16" s="32" t="n">
        <v>2</v>
      </c>
      <c r="D16" s="32" t="inlineStr">
        <is>
          <t>68p</t>
        </is>
      </c>
      <c r="E16" s="32" t="inlineStr">
        <is>
          <t>Capacitor, 68 pF 50 V C0G ±5% (series matching)</t>
        </is>
      </c>
      <c r="F16" s="32" t="inlineStr">
        <is>
          <t>0805</t>
        </is>
      </c>
      <c r="G16" s="32" t="inlineStr">
        <is>
          <t>YAGEO</t>
        </is>
      </c>
      <c r="H16" s="32" t="inlineStr">
        <is>
          <t>CC0805JRNPO9BN680</t>
        </is>
      </c>
      <c r="I16" s="32" t="inlineStr">
        <is>
          <t>C107120</t>
        </is>
      </c>
      <c r="J16" s="32" t="inlineStr">
        <is>
          <t>Extended</t>
        </is>
      </c>
      <c r="K16" s="33" t="n">
        <v>45050</v>
      </c>
      <c r="L16" s="33" t="n">
        <v>47387</v>
      </c>
      <c r="M16" s="32" t="n">
        <v>50</v>
      </c>
      <c r="N16" s="34" t="n">
        <v>0.0101</v>
      </c>
      <c r="O16" s="35" t="inlineStr">
        <is>
          <t>N</t>
        </is>
      </c>
      <c r="P16" s="32" t="n"/>
      <c r="Q16" s="32" t="n"/>
      <c r="R16" s="32" t="n"/>
      <c r="S16" s="32" t="n"/>
      <c r="T16" s="32" t="n"/>
      <c r="U16" s="33" t="n"/>
      <c r="V16" s="33" t="n"/>
      <c r="W16" s="32" t="n"/>
      <c r="X16" s="34" t="n"/>
      <c r="Y16" s="35" t="inlineStr">
        <is>
          <t>Y</t>
        </is>
      </c>
      <c r="Z16" s="35" t="n">
        <v>0</v>
      </c>
      <c r="AA16" s="32">
        <f>IF(Y16="Y",C16*$B$4+Z16,0)</f>
        <v/>
      </c>
      <c r="AB16" s="32">
        <f>IF(AA16=0,0,MAX(IF(O16="Y",W16,M16),CEILING(AA16,IF(O16="Y",W16,M16))))</f>
        <v/>
      </c>
      <c r="AC16" s="32">
        <f>IF(O16="Y",P16,D16)&amp;""</f>
        <v/>
      </c>
      <c r="AD16" s="32">
        <f>IF(O16="Y",Q16,G16)&amp;""</f>
        <v/>
      </c>
      <c r="AE16" s="32">
        <f>IF(O16="Y",R16,H16)&amp;""</f>
        <v/>
      </c>
      <c r="AF16" s="32">
        <f>IF(O16="Y",S16,I16)&amp;""</f>
        <v/>
      </c>
      <c r="AG16" s="32">
        <f>IF(O16="Y",T16,J16)&amp;""</f>
        <v/>
      </c>
      <c r="AH16" s="33">
        <f>IF(OR(AF16="",Y16&lt;&gt;"Y"),"",INT(IF(O16="Y",V16,L16)/C16))</f>
        <v/>
      </c>
      <c r="AI16" s="36">
        <f>AB16*IF(O16="Y",X16,N16)</f>
        <v/>
      </c>
      <c r="AJ16" s="32" t="inlineStr">
        <is>
          <t>Matching values change when the antenna is tuned; the LCSC minimum lot leaves spares for a retune.</t>
        </is>
      </c>
      <c r="AK16" s="32">
        <f>IF(AF16="","",HYPERLINK("https://www.lcsc.com/product-detail/"&amp;AF16&amp;".html","open"))</f>
        <v/>
      </c>
    </row>
    <row r="17" ht="23.85" customHeight="1" s="24">
      <c r="A17" s="37" t="n">
        <v>10</v>
      </c>
      <c r="B17" s="37" t="inlineStr">
        <is>
          <t>C18,C19</t>
        </is>
      </c>
      <c r="C17" s="37" t="n">
        <v>2</v>
      </c>
      <c r="D17" s="37" t="inlineStr">
        <is>
          <t>270p</t>
        </is>
      </c>
      <c r="E17" s="37" t="inlineStr">
        <is>
          <t>Capacitor, 270 pF 100 V C0G ±5% (parallel matching)</t>
        </is>
      </c>
      <c r="F17" s="37" t="inlineStr">
        <is>
          <t>0805</t>
        </is>
      </c>
      <c r="G17" s="37" t="inlineStr">
        <is>
          <t>YAGEO</t>
        </is>
      </c>
      <c r="H17" s="37" t="inlineStr">
        <is>
          <t>CC0805JRNPO0BN271</t>
        </is>
      </c>
      <c r="I17" s="37" t="inlineStr">
        <is>
          <t>C107106</t>
        </is>
      </c>
      <c r="J17" s="37" t="inlineStr">
        <is>
          <t>Extended</t>
        </is>
      </c>
      <c r="K17" s="38" t="n">
        <v>15500</v>
      </c>
      <c r="L17" s="38" t="n">
        <v>15534</v>
      </c>
      <c r="M17" s="37" t="n">
        <v>50</v>
      </c>
      <c r="N17" s="39" t="n">
        <v>0.016</v>
      </c>
      <c r="O17" s="35" t="inlineStr">
        <is>
          <t>N</t>
        </is>
      </c>
      <c r="P17" s="37" t="n"/>
      <c r="Q17" s="37" t="n"/>
      <c r="R17" s="37" t="n"/>
      <c r="S17" s="37" t="n"/>
      <c r="T17" s="37" t="n"/>
      <c r="U17" s="38" t="n"/>
      <c r="V17" s="38" t="n"/>
      <c r="W17" s="37" t="n"/>
      <c r="X17" s="39" t="n"/>
      <c r="Y17" s="35" t="inlineStr">
        <is>
          <t>Y</t>
        </is>
      </c>
      <c r="Z17" s="35" t="n">
        <v>0</v>
      </c>
      <c r="AA17" s="37">
        <f>IF(Y17="Y",C17*$B$4+Z17,0)</f>
        <v/>
      </c>
      <c r="AB17" s="37">
        <f>IF(AA17=0,0,MAX(IF(O17="Y",W17,M17),CEILING(AA17,IF(O17="Y",W17,M17))))</f>
        <v/>
      </c>
      <c r="AC17" s="37">
        <f>IF(O17="Y",P17,D17)&amp;""</f>
        <v/>
      </c>
      <c r="AD17" s="37">
        <f>IF(O17="Y",Q17,G17)&amp;""</f>
        <v/>
      </c>
      <c r="AE17" s="37">
        <f>IF(O17="Y",R17,H17)&amp;""</f>
        <v/>
      </c>
      <c r="AF17" s="37">
        <f>IF(O17="Y",S17,I17)&amp;""</f>
        <v/>
      </c>
      <c r="AG17" s="37">
        <f>IF(O17="Y",T17,J17)&amp;""</f>
        <v/>
      </c>
      <c r="AH17" s="38">
        <f>IF(OR(AF17="",Y17&lt;&gt;"Y"),"",INT(IF(O17="Y",V17,L17)/C17))</f>
        <v/>
      </c>
      <c r="AI17" s="40">
        <f>AB17*IF(O17="Y",X17,N17)</f>
        <v/>
      </c>
      <c r="AJ17" s="37" t="inlineStr">
        <is>
          <t>As above.</t>
        </is>
      </c>
      <c r="AK17" s="37">
        <f>IF(AF17="","",HYPERLINK("https://www.lcsc.com/product-detail/"&amp;AF17&amp;".html","open"))</f>
        <v/>
      </c>
    </row>
    <row r="18" ht="23.85" customHeight="1" s="24">
      <c r="A18" s="32" t="n">
        <v>11</v>
      </c>
      <c r="B18" s="32" t="inlineStr">
        <is>
          <t>C20,C21,C36</t>
        </is>
      </c>
      <c r="C18" s="32" t="n">
        <v>3</v>
      </c>
      <c r="D18" s="32" t="inlineStr">
        <is>
          <t>10u</t>
        </is>
      </c>
      <c r="E18" s="32" t="inlineStr">
        <is>
          <t>Capacitor, 10 µF 25 V X5R ±10%</t>
        </is>
      </c>
      <c r="F18" s="32" t="inlineStr">
        <is>
          <t>0805</t>
        </is>
      </c>
      <c r="G18" s="32" t="inlineStr">
        <is>
          <t>Samsung Electro-Mechanics</t>
        </is>
      </c>
      <c r="H18" s="32" t="inlineStr">
        <is>
          <t>CL21A106KAYNNNE</t>
        </is>
      </c>
      <c r="I18" s="32" t="inlineStr">
        <is>
          <t>C15850</t>
        </is>
      </c>
      <c r="J18" s="32" t="inlineStr">
        <is>
          <t>Basic</t>
        </is>
      </c>
      <c r="K18" s="33" t="n">
        <v>1512600</v>
      </c>
      <c r="L18" s="33" t="n">
        <v>5574591</v>
      </c>
      <c r="M18" s="32" t="n">
        <v>20</v>
      </c>
      <c r="N18" s="34" t="n">
        <v>0.0798</v>
      </c>
      <c r="O18" s="35" t="inlineStr">
        <is>
          <t>N</t>
        </is>
      </c>
      <c r="P18" s="32" t="n"/>
      <c r="Q18" s="32" t="n"/>
      <c r="R18" s="32" t="n"/>
      <c r="S18" s="32" t="n"/>
      <c r="T18" s="32" t="n"/>
      <c r="U18" s="33" t="n"/>
      <c r="V18" s="33" t="n"/>
      <c r="W18" s="32" t="n"/>
      <c r="X18" s="34" t="n"/>
      <c r="Y18" s="35" t="inlineStr">
        <is>
          <t>Y</t>
        </is>
      </c>
      <c r="Z18" s="35" t="n">
        <v>0</v>
      </c>
      <c r="AA18" s="32">
        <f>IF(Y18="Y",C18*$B$4+Z18,0)</f>
        <v/>
      </c>
      <c r="AB18" s="32">
        <f>IF(AA18=0,0,MAX(IF(O18="Y",W18,M18),CEILING(AA18,IF(O18="Y",W18,M18))))</f>
        <v/>
      </c>
      <c r="AC18" s="32">
        <f>IF(O18="Y",P18,D18)&amp;""</f>
        <v/>
      </c>
      <c r="AD18" s="32">
        <f>IF(O18="Y",Q18,G18)&amp;""</f>
        <v/>
      </c>
      <c r="AE18" s="32">
        <f>IF(O18="Y",R18,H18)&amp;""</f>
        <v/>
      </c>
      <c r="AF18" s="32">
        <f>IF(O18="Y",S18,I18)&amp;""</f>
        <v/>
      </c>
      <c r="AG18" s="32">
        <f>IF(O18="Y",T18,J18)&amp;""</f>
        <v/>
      </c>
      <c r="AH18" s="33">
        <f>IF(OR(AF18="",Y18&lt;&gt;"Y"),"",INT(IF(O18="Y",V18,L18)/C18))</f>
        <v/>
      </c>
      <c r="AI18" s="36">
        <f>AB18*IF(O18="Y",X18,N18)</f>
        <v/>
      </c>
      <c r="AJ18" s="32" t="n"/>
      <c r="AK18" s="32">
        <f>IF(AF18="","",HYPERLINK("https://www.lcsc.com/product-detail/"&amp;AF18&amp;".html","open"))</f>
        <v/>
      </c>
    </row>
    <row r="19" ht="23.85" customHeight="1" s="24">
      <c r="A19" s="37" t="n">
        <v>12</v>
      </c>
      <c r="B19" s="37" t="inlineStr">
        <is>
          <t>C26,C27,C31,C32</t>
        </is>
      </c>
      <c r="C19" s="37" t="n">
        <v>4</v>
      </c>
      <c r="D19" s="37" t="inlineStr">
        <is>
          <t>2.2u</t>
        </is>
      </c>
      <c r="E19" s="37" t="inlineStr">
        <is>
          <t>Capacitor, 2.2 µF 50 V X5R ±10%</t>
        </is>
      </c>
      <c r="F19" s="37" t="inlineStr">
        <is>
          <t>0805</t>
        </is>
      </c>
      <c r="G19" s="37" t="inlineStr">
        <is>
          <t>Samsung Electro-Mechanics</t>
        </is>
      </c>
      <c r="H19" s="37" t="inlineStr">
        <is>
          <t>CL21A225KBQNNNE</t>
        </is>
      </c>
      <c r="I19" s="37" t="inlineStr">
        <is>
          <t>C377773</t>
        </is>
      </c>
      <c r="J19" s="37" t="inlineStr">
        <is>
          <t>Basic</t>
        </is>
      </c>
      <c r="K19" s="38" t="n">
        <v>194170</v>
      </c>
      <c r="L19" s="38" t="n">
        <v>685779</v>
      </c>
      <c r="M19" s="37" t="n">
        <v>10</v>
      </c>
      <c r="N19" s="39" t="n">
        <v>0.0536</v>
      </c>
      <c r="O19" s="35" t="inlineStr">
        <is>
          <t>N</t>
        </is>
      </c>
      <c r="P19" s="37" t="n"/>
      <c r="Q19" s="37" t="n"/>
      <c r="R19" s="37" t="n"/>
      <c r="S19" s="37" t="n"/>
      <c r="T19" s="37" t="n"/>
      <c r="U19" s="38" t="n"/>
      <c r="V19" s="38" t="n"/>
      <c r="W19" s="37" t="n"/>
      <c r="X19" s="39" t="n"/>
      <c r="Y19" s="35" t="inlineStr">
        <is>
          <t>Y</t>
        </is>
      </c>
      <c r="Z19" s="35" t="n">
        <v>0</v>
      </c>
      <c r="AA19" s="37">
        <f>IF(Y19="Y",C19*$B$4+Z19,0)</f>
        <v/>
      </c>
      <c r="AB19" s="37">
        <f>IF(AA19=0,0,MAX(IF(O19="Y",W19,M19),CEILING(AA19,IF(O19="Y",W19,M19))))</f>
        <v/>
      </c>
      <c r="AC19" s="37">
        <f>IF(O19="Y",P19,D19)&amp;""</f>
        <v/>
      </c>
      <c r="AD19" s="37">
        <f>IF(O19="Y",Q19,G19)&amp;""</f>
        <v/>
      </c>
      <c r="AE19" s="37">
        <f>IF(O19="Y",R19,H19)&amp;""</f>
        <v/>
      </c>
      <c r="AF19" s="37">
        <f>IF(O19="Y",S19,I19)&amp;""</f>
        <v/>
      </c>
      <c r="AG19" s="37">
        <f>IF(O19="Y",T19,J19)&amp;""</f>
        <v/>
      </c>
      <c r="AH19" s="38">
        <f>IF(OR(AF19="",Y19&lt;&gt;"Y"),"",INT(IF(O19="Y",V19,L19)/C19))</f>
        <v/>
      </c>
      <c r="AI19" s="40">
        <f>AB19*IF(O19="Y",X19,N19)</f>
        <v/>
      </c>
      <c r="AJ19" s="37" t="n"/>
      <c r="AK19" s="37">
        <f>IF(AF19="","",HYPERLINK("https://www.lcsc.com/product-detail/"&amp;AF19&amp;".html","open"))</f>
        <v/>
      </c>
    </row>
    <row r="20" ht="15" customHeight="1" s="24">
      <c r="A20" s="32" t="n">
        <v>13</v>
      </c>
      <c r="B20" s="32" t="inlineStr">
        <is>
          <t>D1,D5</t>
        </is>
      </c>
      <c r="C20" s="32" t="n">
        <v>2</v>
      </c>
      <c r="D20" s="32" t="inlineStr">
        <is>
          <t>RED</t>
        </is>
      </c>
      <c r="E20" s="32" t="inlineStr">
        <is>
          <t>LED, red 630 nm</t>
        </is>
      </c>
      <c r="F20" s="32" t="inlineStr">
        <is>
          <t>0805</t>
        </is>
      </c>
      <c r="G20" s="32" t="inlineStr">
        <is>
          <t>NATIONSTAR</t>
        </is>
      </c>
      <c r="H20" s="32" t="inlineStr">
        <is>
          <t>NCD0805R1</t>
        </is>
      </c>
      <c r="I20" s="32" t="inlineStr">
        <is>
          <t>C84256</t>
        </is>
      </c>
      <c r="J20" s="32" t="inlineStr">
        <is>
          <t>Basic</t>
        </is>
      </c>
      <c r="K20" s="33" t="n">
        <v>4428400</v>
      </c>
      <c r="L20" s="33" t="n">
        <v>5303999</v>
      </c>
      <c r="M20" s="32" t="n">
        <v>50</v>
      </c>
      <c r="N20" s="34" t="n">
        <v>0.0135</v>
      </c>
      <c r="O20" s="35" t="inlineStr">
        <is>
          <t>N</t>
        </is>
      </c>
      <c r="P20" s="32" t="n"/>
      <c r="Q20" s="32" t="n"/>
      <c r="R20" s="32" t="n"/>
      <c r="S20" s="32" t="n"/>
      <c r="T20" s="32" t="n"/>
      <c r="U20" s="33" t="n"/>
      <c r="V20" s="33" t="n"/>
      <c r="W20" s="32" t="n"/>
      <c r="X20" s="34" t="n"/>
      <c r="Y20" s="35" t="inlineStr">
        <is>
          <t>Y</t>
        </is>
      </c>
      <c r="Z20" s="35" t="n">
        <v>0</v>
      </c>
      <c r="AA20" s="32">
        <f>IF(Y20="Y",C20*$B$4+Z20,0)</f>
        <v/>
      </c>
      <c r="AB20" s="32">
        <f>IF(AA20=0,0,MAX(IF(O20="Y",W20,M20),CEILING(AA20,IF(O20="Y",W20,M20))))</f>
        <v/>
      </c>
      <c r="AC20" s="32">
        <f>IF(O20="Y",P20,D20)&amp;""</f>
        <v/>
      </c>
      <c r="AD20" s="32">
        <f>IF(O20="Y",Q20,G20)&amp;""</f>
        <v/>
      </c>
      <c r="AE20" s="32">
        <f>IF(O20="Y",R20,H20)&amp;""</f>
        <v/>
      </c>
      <c r="AF20" s="32">
        <f>IF(O20="Y",S20,I20)&amp;""</f>
        <v/>
      </c>
      <c r="AG20" s="32">
        <f>IF(O20="Y",T20,J20)&amp;""</f>
        <v/>
      </c>
      <c r="AH20" s="33">
        <f>IF(OR(AF20="",Y20&lt;&gt;"Y"),"",INT(IF(O20="Y",V20,L20)/C20))</f>
        <v/>
      </c>
      <c r="AI20" s="36">
        <f>AB20*IF(O20="Y",X20,N20)</f>
        <v/>
      </c>
      <c r="AJ20" s="32" t="inlineStr">
        <is>
          <t>Check the cathode mark against the footprint.</t>
        </is>
      </c>
      <c r="AK20" s="32">
        <f>IF(AF20="","",HYPERLINK("https://www.lcsc.com/product-detail/"&amp;AF20&amp;".html","open"))</f>
        <v/>
      </c>
    </row>
    <row r="21" ht="23.85" customHeight="1" s="24">
      <c r="A21" s="37" t="n">
        <v>14</v>
      </c>
      <c r="B21" s="37" t="inlineStr">
        <is>
          <t>D2,D3,D6</t>
        </is>
      </c>
      <c r="C21" s="37" t="n">
        <v>3</v>
      </c>
      <c r="D21" s="37" t="inlineStr">
        <is>
          <t>GREEN</t>
        </is>
      </c>
      <c r="E21" s="37" t="inlineStr">
        <is>
          <t>LED, yellow-green 571 nm (AlInGaP, Vf ~2 V)</t>
        </is>
      </c>
      <c r="F21" s="37" t="inlineStr">
        <is>
          <t>0805</t>
        </is>
      </c>
      <c r="G21" s="37" t="inlineStr">
        <is>
          <t>LITEON</t>
        </is>
      </c>
      <c r="H21" s="37" t="inlineStr">
        <is>
          <t>LTST-C170KGKT</t>
        </is>
      </c>
      <c r="I21" s="37" t="inlineStr">
        <is>
          <t>C98221</t>
        </is>
      </c>
      <c r="J21" s="37" t="inlineStr">
        <is>
          <t>Extended</t>
        </is>
      </c>
      <c r="K21" s="38" t="n">
        <v>254200</v>
      </c>
      <c r="L21" s="38" t="n">
        <v>254219</v>
      </c>
      <c r="M21" s="37" t="n">
        <v>20</v>
      </c>
      <c r="N21" s="39" t="n">
        <v>0.0315</v>
      </c>
      <c r="O21" s="35" t="inlineStr">
        <is>
          <t>N</t>
        </is>
      </c>
      <c r="P21" s="37" t="n"/>
      <c r="Q21" s="37" t="n"/>
      <c r="R21" s="37" t="n"/>
      <c r="S21" s="37" t="n"/>
      <c r="T21" s="37" t="n"/>
      <c r="U21" s="38" t="n"/>
      <c r="V21" s="38" t="n"/>
      <c r="W21" s="37" t="n"/>
      <c r="X21" s="39" t="n"/>
      <c r="Y21" s="35" t="inlineStr">
        <is>
          <t>Y</t>
        </is>
      </c>
      <c r="Z21" s="35" t="n">
        <v>0</v>
      </c>
      <c r="AA21" s="37">
        <f>IF(Y21="Y",C21*$B$4+Z21,0)</f>
        <v/>
      </c>
      <c r="AB21" s="37">
        <f>IF(AA21=0,0,MAX(IF(O21="Y",W21,M21),CEILING(AA21,IF(O21="Y",W21,M21))))</f>
        <v/>
      </c>
      <c r="AC21" s="37">
        <f>IF(O21="Y",P21,D21)&amp;""</f>
        <v/>
      </c>
      <c r="AD21" s="37">
        <f>IF(O21="Y",Q21,G21)&amp;""</f>
        <v/>
      </c>
      <c r="AE21" s="37">
        <f>IF(O21="Y",R21,H21)&amp;""</f>
        <v/>
      </c>
      <c r="AF21" s="37">
        <f>IF(O21="Y",S21,I21)&amp;""</f>
        <v/>
      </c>
      <c r="AG21" s="37">
        <f>IF(O21="Y",T21,J21)&amp;""</f>
        <v/>
      </c>
      <c r="AH21" s="38">
        <f>IF(OR(AF21="",Y21&lt;&gt;"Y"),"",INT(IF(O21="Y",V21,L21)/C21))</f>
        <v/>
      </c>
      <c r="AI21" s="40">
        <f>AB21*IF(O21="Y",X21,N21)</f>
        <v/>
      </c>
      <c r="AJ21" s="37" t="inlineStr">
        <is>
          <t>Not the Basic green (KT-0805G, C2297): that is a 525 nm InGaN LED with Vf 2.6-3.1 V, which barely lights on D6 (PA2 at 3.3 V through 470 R).</t>
        </is>
      </c>
      <c r="AK21" s="37">
        <f>IF(AF21="","",HYPERLINK("https://www.lcsc.com/product-detail/"&amp;AF21&amp;".html","open"))</f>
        <v/>
      </c>
    </row>
    <row r="22" ht="23.85" customHeight="1" s="24">
      <c r="A22" s="32" t="n">
        <v>15</v>
      </c>
      <c r="B22" s="32" t="inlineStr">
        <is>
          <t>D4</t>
        </is>
      </c>
      <c r="C22" s="32" t="n">
        <v>1</v>
      </c>
      <c r="D22" s="32" t="inlineStr">
        <is>
          <t>SS14</t>
        </is>
      </c>
      <c r="E22" s="32" t="inlineStr">
        <is>
          <t>Diode, Schottky 40 V 1 A (motor flyback)</t>
        </is>
      </c>
      <c r="F22" s="32" t="inlineStr">
        <is>
          <t>D_SMA</t>
        </is>
      </c>
      <c r="G22" s="32" t="inlineStr">
        <is>
          <t>MDD(Microdiode Semiconductor)</t>
        </is>
      </c>
      <c r="H22" s="32" t="inlineStr">
        <is>
          <t>SS14</t>
        </is>
      </c>
      <c r="I22" s="32" t="inlineStr">
        <is>
          <t>C2480</t>
        </is>
      </c>
      <c r="J22" s="32" t="inlineStr">
        <is>
          <t>Basic</t>
        </is>
      </c>
      <c r="K22" s="33" t="n">
        <v>890450</v>
      </c>
      <c r="L22" s="33" t="n">
        <v>1205634</v>
      </c>
      <c r="M22" s="32" t="n">
        <v>50</v>
      </c>
      <c r="N22" s="34" t="n">
        <v>0.0192</v>
      </c>
      <c r="O22" s="35" t="inlineStr">
        <is>
          <t>N</t>
        </is>
      </c>
      <c r="P22" s="32" t="n"/>
      <c r="Q22" s="32" t="n"/>
      <c r="R22" s="32" t="n"/>
      <c r="S22" s="32" t="n"/>
      <c r="T22" s="32" t="n"/>
      <c r="U22" s="33" t="n"/>
      <c r="V22" s="33" t="n"/>
      <c r="W22" s="32" t="n"/>
      <c r="X22" s="34" t="n"/>
      <c r="Y22" s="35" t="inlineStr">
        <is>
          <t>Y</t>
        </is>
      </c>
      <c r="Z22" s="35" t="n">
        <v>0</v>
      </c>
      <c r="AA22" s="32">
        <f>IF(Y22="Y",C22*$B$4+Z22,0)</f>
        <v/>
      </c>
      <c r="AB22" s="32">
        <f>IF(AA22=0,0,MAX(IF(O22="Y",W22,M22),CEILING(AA22,IF(O22="Y",W22,M22))))</f>
        <v/>
      </c>
      <c r="AC22" s="32">
        <f>IF(O22="Y",P22,D22)&amp;""</f>
        <v/>
      </c>
      <c r="AD22" s="32">
        <f>IF(O22="Y",Q22,G22)&amp;""</f>
        <v/>
      </c>
      <c r="AE22" s="32">
        <f>IF(O22="Y",R22,H22)&amp;""</f>
        <v/>
      </c>
      <c r="AF22" s="32">
        <f>IF(O22="Y",S22,I22)&amp;""</f>
        <v/>
      </c>
      <c r="AG22" s="32">
        <f>IF(O22="Y",T22,J22)&amp;""</f>
        <v/>
      </c>
      <c r="AH22" s="33">
        <f>IF(OR(AF22="",Y22&lt;&gt;"Y"),"",INT(IF(O22="Y",V22,L22)/C22))</f>
        <v/>
      </c>
      <c r="AI22" s="36">
        <f>AB22*IF(O22="Y",X22,N22)</f>
        <v/>
      </c>
      <c r="AJ22" s="32" t="n"/>
      <c r="AK22" s="32">
        <f>IF(AF22="","",HYPERLINK("https://www.lcsc.com/product-detail/"&amp;AF22&amp;".html","open"))</f>
        <v/>
      </c>
    </row>
    <row r="23" ht="23.85" customHeight="1" s="24">
      <c r="A23" s="37" t="n">
        <v>16</v>
      </c>
      <c r="B23" s="37" t="inlineStr">
        <is>
          <t>FB1,FB2</t>
        </is>
      </c>
      <c r="C23" s="37" t="n">
        <v>2</v>
      </c>
      <c r="D23" s="37" t="inlineStr">
        <is>
          <t>600R@100MHz</t>
        </is>
      </c>
      <c r="E23" s="37" t="inlineStr">
        <is>
          <t>Ferrite bead, 600 Ω @ 100 MHz, 300 mA, 0.52 Ω</t>
        </is>
      </c>
      <c r="F23" s="37" t="inlineStr">
        <is>
          <t>0402</t>
        </is>
      </c>
      <c r="G23" s="37" t="inlineStr">
        <is>
          <t>muRata</t>
        </is>
      </c>
      <c r="H23" s="37" t="inlineStr">
        <is>
          <t>BLM15AG601SN1D</t>
        </is>
      </c>
      <c r="I23" s="37" t="inlineStr">
        <is>
          <t>C76884</t>
        </is>
      </c>
      <c r="J23" s="37" t="inlineStr">
        <is>
          <t>Extended</t>
        </is>
      </c>
      <c r="K23" s="38" t="n">
        <v>1475200</v>
      </c>
      <c r="L23" s="38" t="n">
        <v>1493001</v>
      </c>
      <c r="M23" s="37" t="n">
        <v>100</v>
      </c>
      <c r="N23" s="39" t="n">
        <v>0.009900000000000001</v>
      </c>
      <c r="O23" s="35" t="inlineStr">
        <is>
          <t>N</t>
        </is>
      </c>
      <c r="P23" s="37" t="n"/>
      <c r="Q23" s="37" t="n"/>
      <c r="R23" s="37" t="n"/>
      <c r="S23" s="37" t="n"/>
      <c r="T23" s="37" t="n"/>
      <c r="U23" s="38" t="n"/>
      <c r="V23" s="38" t="n"/>
      <c r="W23" s="37" t="n"/>
      <c r="X23" s="39" t="n"/>
      <c r="Y23" s="35" t="inlineStr">
        <is>
          <t>Y</t>
        </is>
      </c>
      <c r="Z23" s="35" t="n">
        <v>0</v>
      </c>
      <c r="AA23" s="37">
        <f>IF(Y23="Y",C23*$B$4+Z23,0)</f>
        <v/>
      </c>
      <c r="AB23" s="37">
        <f>IF(AA23=0,0,MAX(IF(O23="Y",W23,M23),CEILING(AA23,IF(O23="Y",W23,M23))))</f>
        <v/>
      </c>
      <c r="AC23" s="37">
        <f>IF(O23="Y",P23,D23)&amp;""</f>
        <v/>
      </c>
      <c r="AD23" s="37">
        <f>IF(O23="Y",Q23,G23)&amp;""</f>
        <v/>
      </c>
      <c r="AE23" s="37">
        <f>IF(O23="Y",R23,H23)&amp;""</f>
        <v/>
      </c>
      <c r="AF23" s="37">
        <f>IF(O23="Y",S23,I23)&amp;""</f>
        <v/>
      </c>
      <c r="AG23" s="37">
        <f>IF(O23="Y",T23,J23)&amp;""</f>
        <v/>
      </c>
      <c r="AH23" s="38">
        <f>IF(OR(AF23="",Y23&lt;&gt;"Y"),"",INT(IF(O23="Y",V23,L23)/C23))</f>
        <v/>
      </c>
      <c r="AI23" s="40">
        <f>AB23*IF(O23="Y",X23,N23)</f>
        <v/>
      </c>
      <c r="AJ23" s="37" t="n"/>
      <c r="AK23" s="37">
        <f>IF(AF23="","",HYPERLINK("https://www.lcsc.com/product-detail/"&amp;AF23&amp;".html","open"))</f>
        <v/>
      </c>
    </row>
    <row r="24" ht="23.85" customHeight="1" s="24">
      <c r="A24" s="32" t="n">
        <v>17</v>
      </c>
      <c r="B24" s="32" t="inlineStr">
        <is>
          <t>J1</t>
        </is>
      </c>
      <c r="C24" s="32" t="n">
        <v>1</v>
      </c>
      <c r="D24" s="32" t="inlineStr">
        <is>
          <t>USB-C</t>
        </is>
      </c>
      <c r="E24" s="32" t="inlineStr">
        <is>
          <t>USB-C receptacle, USB 2.0, 16-pin, SMT</t>
        </is>
      </c>
      <c r="F24" s="32" t="inlineStr">
        <is>
          <t>USB_C_Receptacle_GCT_USB4110</t>
        </is>
      </c>
      <c r="G24" s="32" t="inlineStr">
        <is>
          <t>Global Connector Technology</t>
        </is>
      </c>
      <c r="H24" s="32" t="inlineStr">
        <is>
          <t>USB4110-GF-A</t>
        </is>
      </c>
      <c r="I24" s="32" t="inlineStr">
        <is>
          <t>C5143397</t>
        </is>
      </c>
      <c r="J24" s="32" t="inlineStr">
        <is>
          <t>Extended</t>
        </is>
      </c>
      <c r="K24" s="33" t="n">
        <v>0</v>
      </c>
      <c r="L24" s="33" t="n">
        <v>710</v>
      </c>
      <c r="M24" s="32" t="n">
        <v>1</v>
      </c>
      <c r="N24" s="34" t="n">
        <v>1.4914</v>
      </c>
      <c r="O24" s="35" t="inlineStr">
        <is>
          <t>N</t>
        </is>
      </c>
      <c r="P24" s="32" t="n"/>
      <c r="Q24" s="32" t="n"/>
      <c r="R24" s="32" t="n"/>
      <c r="S24" s="32" t="n"/>
      <c r="T24" s="32" t="n"/>
      <c r="U24" s="33" t="n"/>
      <c r="V24" s="33" t="n"/>
      <c r="W24" s="32" t="n"/>
      <c r="X24" s="34" t="n"/>
      <c r="Y24" s="35" t="inlineStr">
        <is>
          <t>Y</t>
        </is>
      </c>
      <c r="Z24" s="35" t="n">
        <v>0</v>
      </c>
      <c r="AA24" s="32">
        <f>IF(Y24="Y",C24*$B$4+Z24,0)</f>
        <v/>
      </c>
      <c r="AB24" s="32">
        <f>IF(AA24=0,0,MAX(IF(O24="Y",W24,M24),CEILING(AA24,IF(O24="Y",W24,M24))))</f>
        <v/>
      </c>
      <c r="AC24" s="32">
        <f>IF(O24="Y",P24,D24)&amp;""</f>
        <v/>
      </c>
      <c r="AD24" s="32">
        <f>IF(O24="Y",Q24,G24)&amp;""</f>
        <v/>
      </c>
      <c r="AE24" s="32">
        <f>IF(O24="Y",R24,H24)&amp;""</f>
        <v/>
      </c>
      <c r="AF24" s="32">
        <f>IF(O24="Y",S24,I24)&amp;""</f>
        <v/>
      </c>
      <c r="AG24" s="32">
        <f>IF(O24="Y",T24,J24)&amp;""</f>
        <v/>
      </c>
      <c r="AH24" s="33">
        <f>IF(OR(AF24="",Y24&lt;&gt;"Y"),"",INT(IF(O24="Y",V24,L24)/C24))</f>
        <v/>
      </c>
      <c r="AI24" s="36">
        <f>AB24*IF(O24="Y",X24,N24)</f>
        <v/>
      </c>
      <c r="AJ24" s="32" t="inlineStr">
        <is>
          <t>LCSC shows 0 in stock but JLCPCB assembly holds 710. For hand assembly buy it from Digi-Key (2073-USB4110-GF-A-1-ND).</t>
        </is>
      </c>
      <c r="AK24" s="32">
        <f>IF(AF24="","",HYPERLINK("https://www.lcsc.com/product-detail/"&amp;AF24&amp;".html","open"))</f>
        <v/>
      </c>
    </row>
    <row r="25" ht="35.05" customHeight="1" s="24">
      <c r="A25" s="37" t="n">
        <v>18</v>
      </c>
      <c r="B25" s="37" t="inlineStr">
        <is>
          <t>J2</t>
        </is>
      </c>
      <c r="C25" s="37" t="n">
        <v>1</v>
      </c>
      <c r="D25" s="37" t="inlineStr">
        <is>
          <t>BATTERY</t>
        </is>
      </c>
      <c r="E25" s="37" t="inlineStr">
        <is>
          <t>JST XA header, 2-pos 2.50 mm, vertical, THT</t>
        </is>
      </c>
      <c r="F25" s="37" t="inlineStr">
        <is>
          <t>JST_XA_B02B-XASK-1_1x02_P2.50mm_Vertical</t>
        </is>
      </c>
      <c r="G25" s="37" t="inlineStr">
        <is>
          <t>JST</t>
        </is>
      </c>
      <c r="H25" s="37" t="inlineStr">
        <is>
          <t>B02B-XASK-1(LF)(SN)</t>
        </is>
      </c>
      <c r="I25" s="37" t="inlineStr">
        <is>
          <t>C263753</t>
        </is>
      </c>
      <c r="J25" s="37" t="inlineStr">
        <is>
          <t>Extended</t>
        </is>
      </c>
      <c r="K25" s="38" t="n">
        <v>28050</v>
      </c>
      <c r="L25" s="38" t="n">
        <v>28059</v>
      </c>
      <c r="M25" s="37" t="n">
        <v>10</v>
      </c>
      <c r="N25" s="39" t="n">
        <v>0.0764</v>
      </c>
      <c r="O25" s="35" t="inlineStr">
        <is>
          <t>N</t>
        </is>
      </c>
      <c r="P25" s="37" t="n"/>
      <c r="Q25" s="37" t="n"/>
      <c r="R25" s="37" t="n"/>
      <c r="S25" s="37" t="n"/>
      <c r="T25" s="37" t="n"/>
      <c r="U25" s="38" t="n"/>
      <c r="V25" s="38" t="n"/>
      <c r="W25" s="37" t="n"/>
      <c r="X25" s="39" t="n"/>
      <c r="Y25" s="35" t="inlineStr">
        <is>
          <t>Y</t>
        </is>
      </c>
      <c r="Z25" s="35" t="n">
        <v>0</v>
      </c>
      <c r="AA25" s="37">
        <f>IF(Y25="Y",C25*$B$4+Z25,0)</f>
        <v/>
      </c>
      <c r="AB25" s="37">
        <f>IF(AA25=0,0,MAX(IF(O25="Y",W25,M25),CEILING(AA25,IF(O25="Y",W25,M25))))</f>
        <v/>
      </c>
      <c r="AC25" s="37">
        <f>IF(O25="Y",P25,D25)&amp;""</f>
        <v/>
      </c>
      <c r="AD25" s="37">
        <f>IF(O25="Y",Q25,G25)&amp;""</f>
        <v/>
      </c>
      <c r="AE25" s="37">
        <f>IF(O25="Y",R25,H25)&amp;""</f>
        <v/>
      </c>
      <c r="AF25" s="37">
        <f>IF(O25="Y",S25,I25)&amp;""</f>
        <v/>
      </c>
      <c r="AG25" s="37">
        <f>IF(O25="Y",T25,J25)&amp;""</f>
        <v/>
      </c>
      <c r="AH25" s="38">
        <f>IF(OR(AF25="",Y25&lt;&gt;"Y"),"",INT(IF(O25="Y",V25,L25)/C25))</f>
        <v/>
      </c>
      <c r="AI25" s="40">
        <f>AB25*IF(O25="Y",X25,N25)</f>
        <v/>
      </c>
      <c r="AJ25" s="37" t="inlineStr">
        <is>
          <t>Through-hole.</t>
        </is>
      </c>
      <c r="AK25" s="37">
        <f>IF(AF25="","",HYPERLINK("https://www.lcsc.com/product-detail/"&amp;AF25&amp;".html","open"))</f>
        <v/>
      </c>
    </row>
    <row r="26" ht="23.85" customHeight="1" s="24">
      <c r="A26" s="32" t="n">
        <v>19</v>
      </c>
      <c r="B26" s="32" t="inlineStr">
        <is>
          <t>J3</t>
        </is>
      </c>
      <c r="C26" s="32" t="n">
        <v>1</v>
      </c>
      <c r="D26" s="32" t="inlineStr">
        <is>
          <t>SWD</t>
        </is>
      </c>
      <c r="E26" s="32" t="inlineStr">
        <is>
          <t>Pin header, 1x4, 2.54 mm, vertical, THT</t>
        </is>
      </c>
      <c r="F26" s="32" t="inlineStr">
        <is>
          <t>PinHeader_1x04_P2.54mm_Vertical</t>
        </is>
      </c>
      <c r="G26" s="32" t="inlineStr">
        <is>
          <t>XFCN</t>
        </is>
      </c>
      <c r="H26" s="32" t="inlineStr">
        <is>
          <t>PZ254V-11-04P</t>
        </is>
      </c>
      <c r="I26" s="32" t="inlineStr">
        <is>
          <t>C2691448</t>
        </is>
      </c>
      <c r="J26" s="32" t="inlineStr">
        <is>
          <t>Extended</t>
        </is>
      </c>
      <c r="K26" s="33" t="n">
        <v>933760</v>
      </c>
      <c r="L26" s="33" t="n">
        <v>1010306</v>
      </c>
      <c r="M26" s="32" t="n">
        <v>20</v>
      </c>
      <c r="N26" s="34" t="n">
        <v>0.0276</v>
      </c>
      <c r="O26" s="35" t="inlineStr">
        <is>
          <t>N</t>
        </is>
      </c>
      <c r="P26" s="32" t="n"/>
      <c r="Q26" s="32" t="n"/>
      <c r="R26" s="32" t="n"/>
      <c r="S26" s="32" t="n"/>
      <c r="T26" s="32" t="n"/>
      <c r="U26" s="33" t="n"/>
      <c r="V26" s="33" t="n"/>
      <c r="W26" s="32" t="n"/>
      <c r="X26" s="34" t="n"/>
      <c r="Y26" s="35" t="inlineStr">
        <is>
          <t>Y</t>
        </is>
      </c>
      <c r="Z26" s="35" t="n">
        <v>0</v>
      </c>
      <c r="AA26" s="32">
        <f>IF(Y26="Y",C26*$B$4+Z26,0)</f>
        <v/>
      </c>
      <c r="AB26" s="32">
        <f>IF(AA26=0,0,MAX(IF(O26="Y",W26,M26),CEILING(AA26,IF(O26="Y",W26,M26))))</f>
        <v/>
      </c>
      <c r="AC26" s="32">
        <f>IF(O26="Y",P26,D26)&amp;""</f>
        <v/>
      </c>
      <c r="AD26" s="32">
        <f>IF(O26="Y",Q26,G26)&amp;""</f>
        <v/>
      </c>
      <c r="AE26" s="32">
        <f>IF(O26="Y",R26,H26)&amp;""</f>
        <v/>
      </c>
      <c r="AF26" s="32">
        <f>IF(O26="Y",S26,I26)&amp;""</f>
        <v/>
      </c>
      <c r="AG26" s="32">
        <f>IF(O26="Y",T26,J26)&amp;""</f>
        <v/>
      </c>
      <c r="AH26" s="33">
        <f>IF(OR(AF26="",Y26&lt;&gt;"Y"),"",INT(IF(O26="Y",V26,L26)/C26))</f>
        <v/>
      </c>
      <c r="AI26" s="36">
        <f>AB26*IF(O26="Y",X26,N26)</f>
        <v/>
      </c>
      <c r="AJ26" s="32" t="inlineStr">
        <is>
          <t>Through-hole.</t>
        </is>
      </c>
      <c r="AK26" s="32">
        <f>IF(AF26="","",HYPERLINK("https://www.lcsc.com/product-detail/"&amp;AF26&amp;".html","open"))</f>
        <v/>
      </c>
    </row>
    <row r="27" ht="23.85" customHeight="1" s="24">
      <c r="A27" s="37" t="n">
        <v>20</v>
      </c>
      <c r="B27" s="37" t="inlineStr">
        <is>
          <t>J4</t>
        </is>
      </c>
      <c r="C27" s="37" t="n">
        <v>1</v>
      </c>
      <c r="D27" s="37" t="inlineStr">
        <is>
          <t>VIB_MOTOR</t>
        </is>
      </c>
      <c r="E27" s="37" t="inlineStr">
        <is>
          <t>Pin header, 1x2, 2.54 mm, vertical, THT</t>
        </is>
      </c>
      <c r="F27" s="37" t="inlineStr">
        <is>
          <t>PinHeader_1x02_P2.54mm_Vertical</t>
        </is>
      </c>
      <c r="G27" s="37" t="inlineStr">
        <is>
          <t>XFCN</t>
        </is>
      </c>
      <c r="H27" s="37" t="inlineStr">
        <is>
          <t>PZ254V-11-02P</t>
        </is>
      </c>
      <c r="I27" s="37" t="inlineStr">
        <is>
          <t>C492401</t>
        </is>
      </c>
      <c r="J27" s="37" t="inlineStr">
        <is>
          <t>Extended</t>
        </is>
      </c>
      <c r="K27" s="38" t="n">
        <v>1151250</v>
      </c>
      <c r="L27" s="38" t="n">
        <v>1161591</v>
      </c>
      <c r="M27" s="37" t="n">
        <v>50</v>
      </c>
      <c r="N27" s="39" t="n">
        <v>0.0184</v>
      </c>
      <c r="O27" s="35" t="inlineStr">
        <is>
          <t>N</t>
        </is>
      </c>
      <c r="P27" s="37" t="n"/>
      <c r="Q27" s="37" t="n"/>
      <c r="R27" s="37" t="n"/>
      <c r="S27" s="37" t="n"/>
      <c r="T27" s="37" t="n"/>
      <c r="U27" s="38" t="n"/>
      <c r="V27" s="38" t="n"/>
      <c r="W27" s="37" t="n"/>
      <c r="X27" s="39" t="n"/>
      <c r="Y27" s="35" t="inlineStr">
        <is>
          <t>Y</t>
        </is>
      </c>
      <c r="Z27" s="35" t="n">
        <v>0</v>
      </c>
      <c r="AA27" s="37">
        <f>IF(Y27="Y",C27*$B$4+Z27,0)</f>
        <v/>
      </c>
      <c r="AB27" s="37">
        <f>IF(AA27=0,0,MAX(IF(O27="Y",W27,M27),CEILING(AA27,IF(O27="Y",W27,M27))))</f>
        <v/>
      </c>
      <c r="AC27" s="37">
        <f>IF(O27="Y",P27,D27)&amp;""</f>
        <v/>
      </c>
      <c r="AD27" s="37">
        <f>IF(O27="Y",Q27,G27)&amp;""</f>
        <v/>
      </c>
      <c r="AE27" s="37">
        <f>IF(O27="Y",R27,H27)&amp;""</f>
        <v/>
      </c>
      <c r="AF27" s="37">
        <f>IF(O27="Y",S27,I27)&amp;""</f>
        <v/>
      </c>
      <c r="AG27" s="37">
        <f>IF(O27="Y",T27,J27)&amp;""</f>
        <v/>
      </c>
      <c r="AH27" s="38">
        <f>IF(OR(AF27="",Y27&lt;&gt;"Y"),"",INT(IF(O27="Y",V27,L27)/C27))</f>
        <v/>
      </c>
      <c r="AI27" s="40">
        <f>AB27*IF(O27="Y",X27,N27)</f>
        <v/>
      </c>
      <c r="AJ27" s="37" t="inlineStr">
        <is>
          <t>Through-hole. The motor itself is not in this BOM.</t>
        </is>
      </c>
      <c r="AK27" s="37">
        <f>IF(AF27="","",HYPERLINK("https://www.lcsc.com/product-detail/"&amp;AF27&amp;".html","open"))</f>
        <v/>
      </c>
    </row>
    <row r="28" ht="23.85" customHeight="1" s="24">
      <c r="A28" s="32" t="n">
        <v>21</v>
      </c>
      <c r="B28" s="32" t="inlineStr">
        <is>
          <t>J5,J6</t>
        </is>
      </c>
      <c r="C28" s="32" t="n">
        <v>2</v>
      </c>
      <c r="D28" s="32" t="inlineStr">
        <is>
          <t>CSO / CSI</t>
        </is>
      </c>
      <c r="E28" s="32" t="inlineStr">
        <is>
          <t>Solder pads for the capacitive-sensor electrode (PCB feature)</t>
        </is>
      </c>
      <c r="F28" s="32" t="inlineStr">
        <is>
          <t>SolderWirePad_1x01_SMD_1x2mm</t>
        </is>
      </c>
      <c r="G28" s="32" t="n"/>
      <c r="H28" s="32" t="n"/>
      <c r="I28" s="32" t="n"/>
      <c r="J28" s="32" t="n"/>
      <c r="K28" s="33" t="n"/>
      <c r="L28" s="33" t="n"/>
      <c r="M28" s="32" t="n"/>
      <c r="N28" s="34" t="n"/>
      <c r="O28" s="35" t="inlineStr">
        <is>
          <t>N</t>
        </is>
      </c>
      <c r="P28" s="32" t="n"/>
      <c r="Q28" s="32" t="n"/>
      <c r="R28" s="32" t="n"/>
      <c r="S28" s="32" t="n"/>
      <c r="T28" s="32" t="n"/>
      <c r="U28" s="33" t="n"/>
      <c r="V28" s="33" t="n"/>
      <c r="W28" s="32" t="n"/>
      <c r="X28" s="34" t="n"/>
      <c r="Y28" s="35" t="inlineStr">
        <is>
          <t>N</t>
        </is>
      </c>
      <c r="Z28" s="35" t="n">
        <v>0</v>
      </c>
      <c r="AA28" s="32">
        <f>IF(Y28="Y",C28*$B$4+Z28,0)</f>
        <v/>
      </c>
      <c r="AB28" s="32">
        <f>IF(AA28=0,0,MAX(IF(O28="Y",W28,M28),CEILING(AA28,IF(O28="Y",W28,M28))))</f>
        <v/>
      </c>
      <c r="AC28" s="32">
        <f>IF(O28="Y",P28,D28)&amp;""</f>
        <v/>
      </c>
      <c r="AD28" s="32">
        <f>IF(O28="Y",Q28,G28)&amp;""</f>
        <v/>
      </c>
      <c r="AE28" s="32">
        <f>IF(O28="Y",R28,H28)&amp;""</f>
        <v/>
      </c>
      <c r="AF28" s="32">
        <f>IF(O28="Y",S28,I28)&amp;""</f>
        <v/>
      </c>
      <c r="AG28" s="32">
        <f>IF(O28="Y",T28,J28)&amp;""</f>
        <v/>
      </c>
      <c r="AH28" s="33">
        <f>IF(OR(AF28="",Y28&lt;&gt;"Y"),"",INT(IF(O28="Y",V28,L28)/C28))</f>
        <v/>
      </c>
      <c r="AI28" s="36">
        <f>AB28*IF(O28="Y",X28,N28)</f>
        <v/>
      </c>
      <c r="AJ28" s="32" t="inlineStr">
        <is>
          <t>Nothing to buy.</t>
        </is>
      </c>
      <c r="AK28" s="32">
        <f>IF(AF28="","",HYPERLINK("https://www.lcsc.com/product-detail/"&amp;AF28&amp;".html","open"))</f>
        <v/>
      </c>
    </row>
    <row r="29" ht="23.85" customHeight="1" s="24">
      <c r="A29" s="37" t="n">
        <v>22</v>
      </c>
      <c r="B29" s="37" t="inlineStr">
        <is>
          <t>J7</t>
        </is>
      </c>
      <c r="C29" s="37" t="n">
        <v>1</v>
      </c>
      <c r="D29" s="37" t="inlineStr">
        <is>
          <t>PN532</t>
        </is>
      </c>
      <c r="E29" s="37" t="inlineStr">
        <is>
          <t>Socket header, 1x8, 2.54 mm, female, vertical, THT</t>
        </is>
      </c>
      <c r="F29" s="37" t="inlineStr">
        <is>
          <t>PinSocket_1x08_P2.54mm_Vertical</t>
        </is>
      </c>
      <c r="G29" s="37" t="inlineStr">
        <is>
          <t>JXTCONN</t>
        </is>
      </c>
      <c r="H29" s="37" t="inlineStr">
        <is>
          <t>PM2.54-1X8PM-H85</t>
        </is>
      </c>
      <c r="I29" s="37" t="inlineStr">
        <is>
          <t>C42431840</t>
        </is>
      </c>
      <c r="J29" s="37" t="inlineStr">
        <is>
          <t>Extended</t>
        </is>
      </c>
      <c r="K29" s="38" t="n">
        <v>21230</v>
      </c>
      <c r="L29" s="38" t="n">
        <v>21231</v>
      </c>
      <c r="M29" s="37" t="n">
        <v>5</v>
      </c>
      <c r="N29" s="39" t="n">
        <v>0.113</v>
      </c>
      <c r="O29" s="35" t="inlineStr">
        <is>
          <t>N</t>
        </is>
      </c>
      <c r="P29" s="37" t="n"/>
      <c r="Q29" s="37" t="n"/>
      <c r="R29" s="37" t="n"/>
      <c r="S29" s="37" t="n"/>
      <c r="T29" s="37" t="n"/>
      <c r="U29" s="38" t="n"/>
      <c r="V29" s="38" t="n"/>
      <c r="W29" s="37" t="n"/>
      <c r="X29" s="39" t="n"/>
      <c r="Y29" s="35" t="inlineStr">
        <is>
          <t>Y</t>
        </is>
      </c>
      <c r="Z29" s="35" t="n">
        <v>0</v>
      </c>
      <c r="AA29" s="37">
        <f>IF(Y29="Y",C29*$B$4+Z29,0)</f>
        <v/>
      </c>
      <c r="AB29" s="37">
        <f>IF(AA29=0,0,MAX(IF(O29="Y",W29,M29),CEILING(AA29,IF(O29="Y",W29,M29))))</f>
        <v/>
      </c>
      <c r="AC29" s="37">
        <f>IF(O29="Y",P29,D29)&amp;""</f>
        <v/>
      </c>
      <c r="AD29" s="37">
        <f>IF(O29="Y",Q29,G29)&amp;""</f>
        <v/>
      </c>
      <c r="AE29" s="37">
        <f>IF(O29="Y",R29,H29)&amp;""</f>
        <v/>
      </c>
      <c r="AF29" s="37">
        <f>IF(O29="Y",S29,I29)&amp;""</f>
        <v/>
      </c>
      <c r="AG29" s="37">
        <f>IF(O29="Y",T29,J29)&amp;""</f>
        <v/>
      </c>
      <c r="AH29" s="38">
        <f>IF(OR(AF29="",Y29&lt;&gt;"Y"),"",INT(IF(O29="Y",V29,L29)/C29))</f>
        <v/>
      </c>
      <c r="AI29" s="40">
        <f>AB29*IF(O29="Y",X29,N29)</f>
        <v/>
      </c>
      <c r="AJ29" s="37" t="inlineStr">
        <is>
          <t>Through-hole. The PN532 module is not in this BOM.</t>
        </is>
      </c>
      <c r="AK29" s="37">
        <f>IF(AF29="","",HYPERLINK("https://www.lcsc.com/product-detail/"&amp;AF29&amp;".html","open"))</f>
        <v/>
      </c>
    </row>
    <row r="30" ht="35.05" customHeight="1" s="24">
      <c r="A30" s="32" t="n">
        <v>23</v>
      </c>
      <c r="B30" s="32" t="inlineStr">
        <is>
          <t>L3,L4</t>
        </is>
      </c>
      <c r="C30" s="32" t="n">
        <v>2</v>
      </c>
      <c r="D30" s="32" t="inlineStr">
        <is>
          <t>470nH</t>
        </is>
      </c>
      <c r="E30" s="32" t="inlineStr">
        <is>
          <t>Inductor, wirewound ceramic, 470 nH ±5%, 250 mA, 1.76 Ω</t>
        </is>
      </c>
      <c r="F30" s="32" t="inlineStr">
        <is>
          <t>0805</t>
        </is>
      </c>
      <c r="G30" s="32" t="inlineStr">
        <is>
          <t>muRata</t>
        </is>
      </c>
      <c r="H30" s="32" t="inlineStr">
        <is>
          <t>LQW2BASR47J00L</t>
        </is>
      </c>
      <c r="I30" s="32" t="inlineStr">
        <is>
          <t>C337959</t>
        </is>
      </c>
      <c r="J30" s="32" t="inlineStr">
        <is>
          <t>Extended</t>
        </is>
      </c>
      <c r="K30" s="33" t="n">
        <v>4980</v>
      </c>
      <c r="L30" s="33" t="n">
        <v>4980</v>
      </c>
      <c r="M30" s="32" t="n">
        <v>5</v>
      </c>
      <c r="N30" s="34" t="n">
        <v>0.1242</v>
      </c>
      <c r="O30" s="35" t="inlineStr">
        <is>
          <t>N</t>
        </is>
      </c>
      <c r="P30" s="32" t="n"/>
      <c r="Q30" s="32" t="n"/>
      <c r="R30" s="32" t="n"/>
      <c r="S30" s="32" t="n"/>
      <c r="T30" s="32" t="n"/>
      <c r="U30" s="33" t="n"/>
      <c r="V30" s="33" t="n"/>
      <c r="W30" s="32" t="n"/>
      <c r="X30" s="34" t="n"/>
      <c r="Y30" s="35" t="inlineStr">
        <is>
          <t>Y</t>
        </is>
      </c>
      <c r="Z30" s="35" t="n">
        <v>0</v>
      </c>
      <c r="AA30" s="32">
        <f>IF(Y30="Y",C30*$B$4+Z30,0)</f>
        <v/>
      </c>
      <c r="AB30" s="32">
        <f>IF(AA30=0,0,MAX(IF(O30="Y",W30,M30),CEILING(AA30,IF(O30="Y",W30,M30))))</f>
        <v/>
      </c>
      <c r="AC30" s="32">
        <f>IF(O30="Y",P30,D30)&amp;""</f>
        <v/>
      </c>
      <c r="AD30" s="32">
        <f>IF(O30="Y",Q30,G30)&amp;""</f>
        <v/>
      </c>
      <c r="AE30" s="32">
        <f>IF(O30="Y",R30,H30)&amp;""</f>
        <v/>
      </c>
      <c r="AF30" s="32">
        <f>IF(O30="Y",S30,I30)&amp;""</f>
        <v/>
      </c>
      <c r="AG30" s="32">
        <f>IF(O30="Y",T30,J30)&amp;""</f>
        <v/>
      </c>
      <c r="AH30" s="33">
        <f>IF(OR(AF30="",Y30&lt;&gt;"Y"),"",INT(IF(O30="Y",V30,L30)/C30))</f>
        <v/>
      </c>
      <c r="AI30" s="36">
        <f>AB30*IF(O30="Y",X30,N30)</f>
        <v/>
      </c>
      <c r="AJ30" s="32" t="inlineStr">
        <is>
          <t>Same rating as the Coilcraft 0805CS-471 in the Digi-Key BOM. The multilayer-ferrite 470 nH parts at LCSC (e.g. TDK MLF2012) have lower DCR but a ferrite core, which is worse for the RF drive.</t>
        </is>
      </c>
      <c r="AK30" s="32">
        <f>IF(AF30="","",HYPERLINK("https://www.lcsc.com/product-detail/"&amp;AF30&amp;".html","open"))</f>
        <v/>
      </c>
    </row>
    <row r="31" ht="15" customHeight="1" s="24">
      <c r="A31" s="37" t="n">
        <v>24</v>
      </c>
      <c r="B31" s="37" t="inlineStr">
        <is>
          <t>Q1</t>
        </is>
      </c>
      <c r="C31" s="37" t="n">
        <v>1</v>
      </c>
      <c r="D31" s="37" t="inlineStr">
        <is>
          <t>AO3400A</t>
        </is>
      </c>
      <c r="E31" s="37" t="inlineStr">
        <is>
          <t>MOSFET, N-ch 30 V 5.7 A (motor driver)</t>
        </is>
      </c>
      <c r="F31" s="37" t="inlineStr">
        <is>
          <t>SOT-23</t>
        </is>
      </c>
      <c r="G31" s="37" t="inlineStr">
        <is>
          <t>AOS</t>
        </is>
      </c>
      <c r="H31" s="37" t="inlineStr">
        <is>
          <t>AO3400A</t>
        </is>
      </c>
      <c r="I31" s="37" t="inlineStr">
        <is>
          <t>C20917</t>
        </is>
      </c>
      <c r="J31" s="37" t="inlineStr">
        <is>
          <t>Basic</t>
        </is>
      </c>
      <c r="K31" s="38" t="n">
        <v>681455</v>
      </c>
      <c r="L31" s="38" t="n">
        <v>1074077</v>
      </c>
      <c r="M31" s="37" t="n">
        <v>5</v>
      </c>
      <c r="N31" s="39" t="n">
        <v>0.0853</v>
      </c>
      <c r="O31" s="35" t="inlineStr">
        <is>
          <t>N</t>
        </is>
      </c>
      <c r="P31" s="37" t="n"/>
      <c r="Q31" s="37" t="n"/>
      <c r="R31" s="37" t="n"/>
      <c r="S31" s="37" t="n"/>
      <c r="T31" s="37" t="n"/>
      <c r="U31" s="38" t="n"/>
      <c r="V31" s="38" t="n"/>
      <c r="W31" s="37" t="n"/>
      <c r="X31" s="39" t="n"/>
      <c r="Y31" s="35" t="inlineStr">
        <is>
          <t>Y</t>
        </is>
      </c>
      <c r="Z31" s="35" t="n">
        <v>0</v>
      </c>
      <c r="AA31" s="37">
        <f>IF(Y31="Y",C31*$B$4+Z31,0)</f>
        <v/>
      </c>
      <c r="AB31" s="37">
        <f>IF(AA31=0,0,MAX(IF(O31="Y",W31,M31),CEILING(AA31,IF(O31="Y",W31,M31))))</f>
        <v/>
      </c>
      <c r="AC31" s="37">
        <f>IF(O31="Y",P31,D31)&amp;""</f>
        <v/>
      </c>
      <c r="AD31" s="37">
        <f>IF(O31="Y",Q31,G31)&amp;""</f>
        <v/>
      </c>
      <c r="AE31" s="37">
        <f>IF(O31="Y",R31,H31)&amp;""</f>
        <v/>
      </c>
      <c r="AF31" s="37">
        <f>IF(O31="Y",S31,I31)&amp;""</f>
        <v/>
      </c>
      <c r="AG31" s="37">
        <f>IF(O31="Y",T31,J31)&amp;""</f>
        <v/>
      </c>
      <c r="AH31" s="38">
        <f>IF(OR(AF31="",Y31&lt;&gt;"Y"),"",INT(IF(O31="Y",V31,L31)/C31))</f>
        <v/>
      </c>
      <c r="AI31" s="40">
        <f>AB31*IF(O31="Y",X31,N31)</f>
        <v/>
      </c>
      <c r="AJ31" s="37" t="n"/>
      <c r="AK31" s="37">
        <f>IF(AF31="","",HYPERLINK("https://www.lcsc.com/product-detail/"&amp;AF31&amp;".html","open"))</f>
        <v/>
      </c>
    </row>
    <row r="32" ht="15" customHeight="1" s="24">
      <c r="A32" s="32" t="n">
        <v>25</v>
      </c>
      <c r="B32" s="32" t="inlineStr">
        <is>
          <t>R1,R2</t>
        </is>
      </c>
      <c r="C32" s="32" t="n">
        <v>2</v>
      </c>
      <c r="D32" s="32" t="inlineStr">
        <is>
          <t>5.1k</t>
        </is>
      </c>
      <c r="E32" s="32" t="inlineStr">
        <is>
          <t>Resistor, 5.1 kΩ ±1% 1/8 W (USB-C CC)</t>
        </is>
      </c>
      <c r="F32" s="32" t="inlineStr">
        <is>
          <t>0805</t>
        </is>
      </c>
      <c r="G32" s="32" t="inlineStr">
        <is>
          <t>UNI-ROYAL</t>
        </is>
      </c>
      <c r="H32" s="32" t="inlineStr">
        <is>
          <t>0805W8F5101T5E</t>
        </is>
      </c>
      <c r="I32" s="32" t="inlineStr">
        <is>
          <t>C27834</t>
        </is>
      </c>
      <c r="J32" s="32" t="inlineStr">
        <is>
          <t>Basic</t>
        </is>
      </c>
      <c r="K32" s="33" t="n">
        <v>2477700</v>
      </c>
      <c r="L32" s="33" t="n">
        <v>3573872</v>
      </c>
      <c r="M32" s="32" t="n">
        <v>100</v>
      </c>
      <c r="N32" s="34" t="n">
        <v>0.0056</v>
      </c>
      <c r="O32" s="35" t="inlineStr">
        <is>
          <t>N</t>
        </is>
      </c>
      <c r="P32" s="32" t="n"/>
      <c r="Q32" s="32" t="n"/>
      <c r="R32" s="32" t="n"/>
      <c r="S32" s="32" t="n"/>
      <c r="T32" s="32" t="n"/>
      <c r="U32" s="33" t="n"/>
      <c r="V32" s="33" t="n"/>
      <c r="W32" s="32" t="n"/>
      <c r="X32" s="34" t="n"/>
      <c r="Y32" s="35" t="inlineStr">
        <is>
          <t>Y</t>
        </is>
      </c>
      <c r="Z32" s="35" t="n">
        <v>0</v>
      </c>
      <c r="AA32" s="32">
        <f>IF(Y32="Y",C32*$B$4+Z32,0)</f>
        <v/>
      </c>
      <c r="AB32" s="32">
        <f>IF(AA32=0,0,MAX(IF(O32="Y",W32,M32),CEILING(AA32,IF(O32="Y",W32,M32))))</f>
        <v/>
      </c>
      <c r="AC32" s="32">
        <f>IF(O32="Y",P32,D32)&amp;""</f>
        <v/>
      </c>
      <c r="AD32" s="32">
        <f>IF(O32="Y",Q32,G32)&amp;""</f>
        <v/>
      </c>
      <c r="AE32" s="32">
        <f>IF(O32="Y",R32,H32)&amp;""</f>
        <v/>
      </c>
      <c r="AF32" s="32">
        <f>IF(O32="Y",S32,I32)&amp;""</f>
        <v/>
      </c>
      <c r="AG32" s="32">
        <f>IF(O32="Y",T32,J32)&amp;""</f>
        <v/>
      </c>
      <c r="AH32" s="33">
        <f>IF(OR(AF32="",Y32&lt;&gt;"Y"),"",INT(IF(O32="Y",V32,L32)/C32))</f>
        <v/>
      </c>
      <c r="AI32" s="36">
        <f>AB32*IF(O32="Y",X32,N32)</f>
        <v/>
      </c>
      <c r="AJ32" s="32" t="n"/>
      <c r="AK32" s="32">
        <f>IF(AF32="","",HYPERLINK("https://www.lcsc.com/product-detail/"&amp;AF32&amp;".html","open"))</f>
        <v/>
      </c>
    </row>
    <row r="33" ht="15" customHeight="1" s="24">
      <c r="A33" s="37" t="n">
        <v>26</v>
      </c>
      <c r="B33" s="37" t="inlineStr">
        <is>
          <t>R3,R4,R5,R9,R10</t>
        </is>
      </c>
      <c r="C33" s="37" t="n">
        <v>5</v>
      </c>
      <c r="D33" s="37" t="inlineStr">
        <is>
          <t>470R</t>
        </is>
      </c>
      <c r="E33" s="37" t="inlineStr">
        <is>
          <t>Resistor, 470 Ω ±1% 1/8 W (LED series)</t>
        </is>
      </c>
      <c r="F33" s="37" t="inlineStr">
        <is>
          <t>0805</t>
        </is>
      </c>
      <c r="G33" s="37" t="inlineStr">
        <is>
          <t>UNI-ROYAL</t>
        </is>
      </c>
      <c r="H33" s="37" t="inlineStr">
        <is>
          <t>0805W8F4700T5E</t>
        </is>
      </c>
      <c r="I33" s="37" t="inlineStr">
        <is>
          <t>C17710</t>
        </is>
      </c>
      <c r="J33" s="37" t="inlineStr">
        <is>
          <t>Basic</t>
        </is>
      </c>
      <c r="K33" s="38" t="n">
        <v>2280000</v>
      </c>
      <c r="L33" s="38" t="n">
        <v>2879988</v>
      </c>
      <c r="M33" s="37" t="n">
        <v>100</v>
      </c>
      <c r="N33" s="39" t="n">
        <v>0.0049</v>
      </c>
      <c r="O33" s="35" t="inlineStr">
        <is>
          <t>N</t>
        </is>
      </c>
      <c r="P33" s="37" t="n"/>
      <c r="Q33" s="37" t="n"/>
      <c r="R33" s="37" t="n"/>
      <c r="S33" s="37" t="n"/>
      <c r="T33" s="37" t="n"/>
      <c r="U33" s="38" t="n"/>
      <c r="V33" s="38" t="n"/>
      <c r="W33" s="37" t="n"/>
      <c r="X33" s="39" t="n"/>
      <c r="Y33" s="35" t="inlineStr">
        <is>
          <t>Y</t>
        </is>
      </c>
      <c r="Z33" s="35" t="n">
        <v>0</v>
      </c>
      <c r="AA33" s="37">
        <f>IF(Y33="Y",C33*$B$4+Z33,0)</f>
        <v/>
      </c>
      <c r="AB33" s="37">
        <f>IF(AA33=0,0,MAX(IF(O33="Y",W33,M33),CEILING(AA33,IF(O33="Y",W33,M33))))</f>
        <v/>
      </c>
      <c r="AC33" s="37">
        <f>IF(O33="Y",P33,D33)&amp;""</f>
        <v/>
      </c>
      <c r="AD33" s="37">
        <f>IF(O33="Y",Q33,G33)&amp;""</f>
        <v/>
      </c>
      <c r="AE33" s="37">
        <f>IF(O33="Y",R33,H33)&amp;""</f>
        <v/>
      </c>
      <c r="AF33" s="37">
        <f>IF(O33="Y",S33,I33)&amp;""</f>
        <v/>
      </c>
      <c r="AG33" s="37">
        <f>IF(O33="Y",T33,J33)&amp;""</f>
        <v/>
      </c>
      <c r="AH33" s="38">
        <f>IF(OR(AF33="",Y33&lt;&gt;"Y"),"",INT(IF(O33="Y",V33,L33)/C33))</f>
        <v/>
      </c>
      <c r="AI33" s="40">
        <f>AB33*IF(O33="Y",X33,N33)</f>
        <v/>
      </c>
      <c r="AJ33" s="37" t="n"/>
      <c r="AK33" s="37">
        <f>IF(AF33="","",HYPERLINK("https://www.lcsc.com/product-detail/"&amp;AF33&amp;".html","open"))</f>
        <v/>
      </c>
    </row>
    <row r="34" ht="35.05" customHeight="1" s="24">
      <c r="A34" s="32" t="n">
        <v>27</v>
      </c>
      <c r="B34" s="32" t="inlineStr">
        <is>
          <t>R6</t>
        </is>
      </c>
      <c r="C34" s="32" t="n">
        <v>1</v>
      </c>
      <c r="D34" s="32" t="inlineStr">
        <is>
          <t>1k</t>
        </is>
      </c>
      <c r="E34" s="32" t="inlineStr">
        <is>
          <t>Resistor, ±1% 1/8 W (MCP73833 PROG: sets charge current)</t>
        </is>
      </c>
      <c r="F34" s="32" t="inlineStr">
        <is>
          <t>0805</t>
        </is>
      </c>
      <c r="G34" s="32" t="inlineStr">
        <is>
          <t>UNI-ROYAL</t>
        </is>
      </c>
      <c r="H34" s="32" t="inlineStr">
        <is>
          <t>0805W8F1001T5E</t>
        </is>
      </c>
      <c r="I34" s="32" t="inlineStr">
        <is>
          <t>C17513</t>
        </is>
      </c>
      <c r="J34" s="32" t="inlineStr">
        <is>
          <t>Basic</t>
        </is>
      </c>
      <c r="K34" s="33" t="n">
        <v>27482800</v>
      </c>
      <c r="L34" s="33" t="n">
        <v>31829451</v>
      </c>
      <c r="M34" s="32" t="n">
        <v>100</v>
      </c>
      <c r="N34" s="34" t="n">
        <v>0.0041</v>
      </c>
      <c r="O34" s="35" t="inlineStr">
        <is>
          <t>N</t>
        </is>
      </c>
      <c r="P34" s="32" t="inlineStr">
        <is>
          <t>2k</t>
        </is>
      </c>
      <c r="Q34" s="32" t="inlineStr">
        <is>
          <t>UNI-ROYAL</t>
        </is>
      </c>
      <c r="R34" s="32" t="inlineStr">
        <is>
          <t>0805W8F2001T5E</t>
        </is>
      </c>
      <c r="S34" s="32" t="inlineStr">
        <is>
          <t>C17604</t>
        </is>
      </c>
      <c r="T34" s="32" t="inlineStr">
        <is>
          <t>Basic</t>
        </is>
      </c>
      <c r="U34" s="33" t="n">
        <v>4433300</v>
      </c>
      <c r="V34" s="33" t="n">
        <v>5690088</v>
      </c>
      <c r="W34" s="32" t="n">
        <v>100</v>
      </c>
      <c r="X34" s="34" t="n">
        <v>0.0039</v>
      </c>
      <c r="Y34" s="35" t="inlineStr">
        <is>
          <t>Y</t>
        </is>
      </c>
      <c r="Z34" s="35" t="n">
        <v>0</v>
      </c>
      <c r="AA34" s="32">
        <f>IF(Y34="Y",C34*$B$4+Z34,0)</f>
        <v/>
      </c>
      <c r="AB34" s="32">
        <f>IF(AA34=0,0,MAX(IF(O34="Y",W34,M34),CEILING(AA34,IF(O34="Y",W34,M34))))</f>
        <v/>
      </c>
      <c r="AC34" s="32">
        <f>IF(O34="Y",P34,D34)&amp;""</f>
        <v/>
      </c>
      <c r="AD34" s="32">
        <f>IF(O34="Y",Q34,G34)&amp;""</f>
        <v/>
      </c>
      <c r="AE34" s="32">
        <f>IF(O34="Y",R34,H34)&amp;""</f>
        <v/>
      </c>
      <c r="AF34" s="32">
        <f>IF(O34="Y",S34,I34)&amp;""</f>
        <v/>
      </c>
      <c r="AG34" s="32">
        <f>IF(O34="Y",T34,J34)&amp;""</f>
        <v/>
      </c>
      <c r="AH34" s="33">
        <f>IF(OR(AF34="",Y34&lt;&gt;"Y"),"",INT(IF(O34="Y",V34,L34)/C34))</f>
        <v/>
      </c>
      <c r="AI34" s="36">
        <f>AB34*IF(O34="Y",X34,N34)</f>
        <v/>
      </c>
      <c r="AJ34" s="32" t="inlineStr">
        <is>
          <t>1 kΩ = 1 A charge current, more than a USB-C sink with 5.1 kΩ Rd may draw (500 mA). Set Use alternate = Y for 2 kΩ (500 mA) after changing the schematic.</t>
        </is>
      </c>
      <c r="AK34" s="32">
        <f>IF(AF34="","",HYPERLINK("https://www.lcsc.com/product-detail/"&amp;AF34&amp;".html","open"))</f>
        <v/>
      </c>
    </row>
    <row r="35" ht="15" customHeight="1" s="24">
      <c r="A35" s="37" t="n">
        <v>28</v>
      </c>
      <c r="B35" s="37" t="inlineStr">
        <is>
          <t>R7,R8,R11,R12,R20</t>
        </is>
      </c>
      <c r="C35" s="37" t="n">
        <v>5</v>
      </c>
      <c r="D35" s="37" t="inlineStr">
        <is>
          <t>10k</t>
        </is>
      </c>
      <c r="E35" s="37" t="inlineStr">
        <is>
          <t>Resistor, 10 kΩ ±1% 1/8 W</t>
        </is>
      </c>
      <c r="F35" s="37" t="inlineStr">
        <is>
          <t>0805</t>
        </is>
      </c>
      <c r="G35" s="37" t="inlineStr">
        <is>
          <t>UNI-ROYAL</t>
        </is>
      </c>
      <c r="H35" s="37" t="inlineStr">
        <is>
          <t>0805W8F1002T5E</t>
        </is>
      </c>
      <c r="I35" s="37" t="inlineStr">
        <is>
          <t>C17414</t>
        </is>
      </c>
      <c r="J35" s="37" t="inlineStr">
        <is>
          <t>Basic</t>
        </is>
      </c>
      <c r="K35" s="38" t="n">
        <v>44415400</v>
      </c>
      <c r="L35" s="38" t="n">
        <v>51391005</v>
      </c>
      <c r="M35" s="37" t="n">
        <v>100</v>
      </c>
      <c r="N35" s="39" t="n">
        <v>0.0039</v>
      </c>
      <c r="O35" s="35" t="inlineStr">
        <is>
          <t>N</t>
        </is>
      </c>
      <c r="P35" s="37" t="n"/>
      <c r="Q35" s="37" t="n"/>
      <c r="R35" s="37" t="n"/>
      <c r="S35" s="37" t="n"/>
      <c r="T35" s="37" t="n"/>
      <c r="U35" s="38" t="n"/>
      <c r="V35" s="38" t="n"/>
      <c r="W35" s="37" t="n"/>
      <c r="X35" s="39" t="n"/>
      <c r="Y35" s="35" t="inlineStr">
        <is>
          <t>Y</t>
        </is>
      </c>
      <c r="Z35" s="35" t="n">
        <v>0</v>
      </c>
      <c r="AA35" s="37">
        <f>IF(Y35="Y",C35*$B$4+Z35,0)</f>
        <v/>
      </c>
      <c r="AB35" s="37">
        <f>IF(AA35=0,0,MAX(IF(O35="Y",W35,M35),CEILING(AA35,IF(O35="Y",W35,M35))))</f>
        <v/>
      </c>
      <c r="AC35" s="37">
        <f>IF(O35="Y",P35,D35)&amp;""</f>
        <v/>
      </c>
      <c r="AD35" s="37">
        <f>IF(O35="Y",Q35,G35)&amp;""</f>
        <v/>
      </c>
      <c r="AE35" s="37">
        <f>IF(O35="Y",R35,H35)&amp;""</f>
        <v/>
      </c>
      <c r="AF35" s="37">
        <f>IF(O35="Y",S35,I35)&amp;""</f>
        <v/>
      </c>
      <c r="AG35" s="37">
        <f>IF(O35="Y",T35,J35)&amp;""</f>
        <v/>
      </c>
      <c r="AH35" s="38">
        <f>IF(OR(AF35="",Y35&lt;&gt;"Y"),"",INT(IF(O35="Y",V35,L35)/C35))</f>
        <v/>
      </c>
      <c r="AI35" s="40">
        <f>AB35*IF(O35="Y",X35,N35)</f>
        <v/>
      </c>
      <c r="AJ35" s="37" t="n"/>
      <c r="AK35" s="37">
        <f>IF(AF35="","",HYPERLINK("https://www.lcsc.com/product-detail/"&amp;AF35&amp;".html","open"))</f>
        <v/>
      </c>
    </row>
    <row r="36" ht="23.85" customHeight="1" s="24">
      <c r="A36" s="32" t="n">
        <v>29</v>
      </c>
      <c r="B36" s="32" t="inlineStr">
        <is>
          <t>R15</t>
        </is>
      </c>
      <c r="C36" s="32" t="n">
        <v>1</v>
      </c>
      <c r="D36" s="32" t="inlineStr">
        <is>
          <t>1.5k</t>
        </is>
      </c>
      <c r="E36" s="32" t="inlineStr">
        <is>
          <t>Resistor, 1.5 kΩ ±1% 1/8 W (antenna damping)</t>
        </is>
      </c>
      <c r="F36" s="32" t="inlineStr">
        <is>
          <t>0805</t>
        </is>
      </c>
      <c r="G36" s="32" t="inlineStr">
        <is>
          <t>UNI-ROYAL</t>
        </is>
      </c>
      <c r="H36" s="32" t="inlineStr">
        <is>
          <t>0805W8F1501T5E</t>
        </is>
      </c>
      <c r="I36" s="32" t="inlineStr">
        <is>
          <t>C4310</t>
        </is>
      </c>
      <c r="J36" s="32" t="inlineStr">
        <is>
          <t>Basic</t>
        </is>
      </c>
      <c r="K36" s="33" t="n">
        <v>445400</v>
      </c>
      <c r="L36" s="33" t="n">
        <v>832480</v>
      </c>
      <c r="M36" s="32" t="n">
        <v>100</v>
      </c>
      <c r="N36" s="34" t="n">
        <v>0.0035</v>
      </c>
      <c r="O36" s="35" t="inlineStr">
        <is>
          <t>N</t>
        </is>
      </c>
      <c r="P36" s="32" t="n"/>
      <c r="Q36" s="32" t="n"/>
      <c r="R36" s="32" t="n"/>
      <c r="S36" s="32" t="n"/>
      <c r="T36" s="32" t="n"/>
      <c r="U36" s="33" t="n"/>
      <c r="V36" s="33" t="n"/>
      <c r="W36" s="32" t="n"/>
      <c r="X36" s="34" t="n"/>
      <c r="Y36" s="35" t="inlineStr">
        <is>
          <t>Y</t>
        </is>
      </c>
      <c r="Z36" s="35" t="n">
        <v>0</v>
      </c>
      <c r="AA36" s="32">
        <f>IF(Y36="Y",C36*$B$4+Z36,0)</f>
        <v/>
      </c>
      <c r="AB36" s="32">
        <f>IF(AA36=0,0,MAX(IF(O36="Y",W36,M36),CEILING(AA36,IF(O36="Y",W36,M36))))</f>
        <v/>
      </c>
      <c r="AC36" s="32">
        <f>IF(O36="Y",P36,D36)&amp;""</f>
        <v/>
      </c>
      <c r="AD36" s="32">
        <f>IF(O36="Y",Q36,G36)&amp;""</f>
        <v/>
      </c>
      <c r="AE36" s="32">
        <f>IF(O36="Y",R36,H36)&amp;""</f>
        <v/>
      </c>
      <c r="AF36" s="32">
        <f>IF(O36="Y",S36,I36)&amp;""</f>
        <v/>
      </c>
      <c r="AG36" s="32">
        <f>IF(O36="Y",T36,J36)&amp;""</f>
        <v/>
      </c>
      <c r="AH36" s="33">
        <f>IF(OR(AF36="",Y36&lt;&gt;"Y"),"",INT(IF(O36="Y",V36,L36)/C36))</f>
        <v/>
      </c>
      <c r="AI36" s="36">
        <f>AB36*IF(O36="Y",X36,N36)</f>
        <v/>
      </c>
      <c r="AJ36" s="32" t="inlineStr">
        <is>
          <t>May change during antenna tuning.</t>
        </is>
      </c>
      <c r="AK36" s="32">
        <f>IF(AF36="","",HYPERLINK("https://www.lcsc.com/product-detail/"&amp;AF36&amp;".html","open"))</f>
        <v/>
      </c>
    </row>
    <row r="37" ht="23.85" customHeight="1" s="24">
      <c r="A37" s="37" t="n">
        <v>30</v>
      </c>
      <c r="B37" s="37" t="inlineStr">
        <is>
          <t>R16,R18,R19</t>
        </is>
      </c>
      <c r="C37" s="37" t="n">
        <v>3</v>
      </c>
      <c r="D37" s="37" t="inlineStr">
        <is>
          <t>4.7M</t>
        </is>
      </c>
      <c r="E37" s="37" t="inlineStr">
        <is>
          <t>Resistor, 4.7 MΩ ±1% 1/8 W (battery and VBUS dividers)</t>
        </is>
      </c>
      <c r="F37" s="37" t="inlineStr">
        <is>
          <t>0805</t>
        </is>
      </c>
      <c r="G37" s="37" t="inlineStr">
        <is>
          <t>UNI-ROYAL</t>
        </is>
      </c>
      <c r="H37" s="37" t="inlineStr">
        <is>
          <t>0805W8F4704T5E</t>
        </is>
      </c>
      <c r="I37" s="37" t="inlineStr">
        <is>
          <t>C17674</t>
        </is>
      </c>
      <c r="J37" s="37" t="inlineStr">
        <is>
          <t>Extended</t>
        </is>
      </c>
      <c r="K37" s="38" t="n">
        <v>76200</v>
      </c>
      <c r="L37" s="38" t="n">
        <v>77104</v>
      </c>
      <c r="M37" s="37" t="n">
        <v>100</v>
      </c>
      <c r="N37" s="39" t="n">
        <v>0.003</v>
      </c>
      <c r="O37" s="35" t="inlineStr">
        <is>
          <t>N</t>
        </is>
      </c>
      <c r="P37" s="37" t="n"/>
      <c r="Q37" s="37" t="n"/>
      <c r="R37" s="37" t="n"/>
      <c r="S37" s="37" t="n"/>
      <c r="T37" s="37" t="n"/>
      <c r="U37" s="38" t="n"/>
      <c r="V37" s="38" t="n"/>
      <c r="W37" s="37" t="n"/>
      <c r="X37" s="39" t="n"/>
      <c r="Y37" s="35" t="inlineStr">
        <is>
          <t>Y</t>
        </is>
      </c>
      <c r="Z37" s="35" t="n">
        <v>0</v>
      </c>
      <c r="AA37" s="37">
        <f>IF(Y37="Y",C37*$B$4+Z37,0)</f>
        <v/>
      </c>
      <c r="AB37" s="37">
        <f>IF(AA37=0,0,MAX(IF(O37="Y",W37,M37),CEILING(AA37,IF(O37="Y",W37,M37))))</f>
        <v/>
      </c>
      <c r="AC37" s="37">
        <f>IF(O37="Y",P37,D37)&amp;""</f>
        <v/>
      </c>
      <c r="AD37" s="37">
        <f>IF(O37="Y",Q37,G37)&amp;""</f>
        <v/>
      </c>
      <c r="AE37" s="37">
        <f>IF(O37="Y",R37,H37)&amp;""</f>
        <v/>
      </c>
      <c r="AF37" s="37">
        <f>IF(O37="Y",S37,I37)&amp;""</f>
        <v/>
      </c>
      <c r="AG37" s="37">
        <f>IF(O37="Y",T37,J37)&amp;""</f>
        <v/>
      </c>
      <c r="AH37" s="38">
        <f>IF(OR(AF37="",Y37&lt;&gt;"Y"),"",INT(IF(O37="Y",V37,L37)/C37))</f>
        <v/>
      </c>
      <c r="AI37" s="40">
        <f>AB37*IF(O37="Y",X37,N37)</f>
        <v/>
      </c>
      <c r="AJ37" s="37" t="n"/>
      <c r="AK37" s="37">
        <f>IF(AF37="","",HYPERLINK("https://www.lcsc.com/product-detail/"&amp;AF37&amp;".html","open"))</f>
        <v/>
      </c>
    </row>
    <row r="38" ht="23.85" customHeight="1" s="24">
      <c r="A38" s="32" t="n">
        <v>31</v>
      </c>
      <c r="B38" s="32" t="inlineStr">
        <is>
          <t>R17</t>
        </is>
      </c>
      <c r="C38" s="32" t="n">
        <v>1</v>
      </c>
      <c r="D38" s="32" t="inlineStr">
        <is>
          <t>2.7M</t>
        </is>
      </c>
      <c r="E38" s="32" t="inlineStr">
        <is>
          <t>Resistor, 2.7 MΩ ±1% 1/8 W (battery divider low leg)</t>
        </is>
      </c>
      <c r="F38" s="32" t="inlineStr">
        <is>
          <t>0805</t>
        </is>
      </c>
      <c r="G38" s="32" t="inlineStr">
        <is>
          <t>UNI-ROYAL</t>
        </is>
      </c>
      <c r="H38" s="32" t="inlineStr">
        <is>
          <t>0805W8F2704T5E</t>
        </is>
      </c>
      <c r="I38" s="32" t="inlineStr">
        <is>
          <t>C17531</t>
        </is>
      </c>
      <c r="J38" s="32" t="inlineStr">
        <is>
          <t>Extended</t>
        </is>
      </c>
      <c r="K38" s="33" t="n">
        <v>29200</v>
      </c>
      <c r="L38" s="33" t="n">
        <v>29539</v>
      </c>
      <c r="M38" s="32" t="n">
        <v>100</v>
      </c>
      <c r="N38" s="34" t="n">
        <v>0.0048</v>
      </c>
      <c r="O38" s="35" t="inlineStr">
        <is>
          <t>N</t>
        </is>
      </c>
      <c r="P38" s="32" t="n"/>
      <c r="Q38" s="32" t="n"/>
      <c r="R38" s="32" t="n"/>
      <c r="S38" s="32" t="n"/>
      <c r="T38" s="32" t="n"/>
      <c r="U38" s="33" t="n"/>
      <c r="V38" s="33" t="n"/>
      <c r="W38" s="32" t="n"/>
      <c r="X38" s="34" t="n"/>
      <c r="Y38" s="35" t="inlineStr">
        <is>
          <t>Y</t>
        </is>
      </c>
      <c r="Z38" s="35" t="n">
        <v>0</v>
      </c>
      <c r="AA38" s="32">
        <f>IF(Y38="Y",C38*$B$4+Z38,0)</f>
        <v/>
      </c>
      <c r="AB38" s="32">
        <f>IF(AA38=0,0,MAX(IF(O38="Y",W38,M38),CEILING(AA38,IF(O38="Y",W38,M38))))</f>
        <v/>
      </c>
      <c r="AC38" s="32">
        <f>IF(O38="Y",P38,D38)&amp;""</f>
        <v/>
      </c>
      <c r="AD38" s="32">
        <f>IF(O38="Y",Q38,G38)&amp;""</f>
        <v/>
      </c>
      <c r="AE38" s="32">
        <f>IF(O38="Y",R38,H38)&amp;""</f>
        <v/>
      </c>
      <c r="AF38" s="32">
        <f>IF(O38="Y",S38,I38)&amp;""</f>
        <v/>
      </c>
      <c r="AG38" s="32">
        <f>IF(O38="Y",T38,J38)&amp;""</f>
        <v/>
      </c>
      <c r="AH38" s="33">
        <f>IF(OR(AF38="",Y38&lt;&gt;"Y"),"",INT(IF(O38="Y",V38,L38)/C38))</f>
        <v/>
      </c>
      <c r="AI38" s="36">
        <f>AB38*IF(O38="Y",X38,N38)</f>
        <v/>
      </c>
      <c r="AJ38" s="32" t="n"/>
      <c r="AK38" s="32">
        <f>IF(AF38="","",HYPERLINK("https://www.lcsc.com/product-detail/"&amp;AF38&amp;".html","open"))</f>
        <v/>
      </c>
    </row>
    <row r="39" ht="15" customHeight="1" s="24">
      <c r="A39" s="37" t="n">
        <v>32</v>
      </c>
      <c r="B39" s="37" t="inlineStr">
        <is>
          <t>R21,R22</t>
        </is>
      </c>
      <c r="C39" s="37" t="n">
        <v>2</v>
      </c>
      <c r="D39" s="37" t="inlineStr">
        <is>
          <t>0</t>
        </is>
      </c>
      <c r="E39" s="37" t="inlineStr">
        <is>
          <t>Resistor, 0 Ω jumper (antenna feed)</t>
        </is>
      </c>
      <c r="F39" s="37" t="inlineStr">
        <is>
          <t>0805</t>
        </is>
      </c>
      <c r="G39" s="37" t="inlineStr">
        <is>
          <t>UNI-ROYAL</t>
        </is>
      </c>
      <c r="H39" s="37" t="inlineStr">
        <is>
          <t>0805W8F0000T5E</t>
        </is>
      </c>
      <c r="I39" s="37" t="inlineStr">
        <is>
          <t>C17477</t>
        </is>
      </c>
      <c r="J39" s="37" t="inlineStr">
        <is>
          <t>Basic</t>
        </is>
      </c>
      <c r="K39" s="38" t="n">
        <v>5411400</v>
      </c>
      <c r="L39" s="38" t="n">
        <v>7103041</v>
      </c>
      <c r="M39" s="37" t="n">
        <v>100</v>
      </c>
      <c r="N39" s="39" t="n">
        <v>0.0045</v>
      </c>
      <c r="O39" s="35" t="inlineStr">
        <is>
          <t>N</t>
        </is>
      </c>
      <c r="P39" s="37" t="n"/>
      <c r="Q39" s="37" t="n"/>
      <c r="R39" s="37" t="n"/>
      <c r="S39" s="37" t="n"/>
      <c r="T39" s="37" t="n"/>
      <c r="U39" s="38" t="n"/>
      <c r="V39" s="38" t="n"/>
      <c r="W39" s="37" t="n"/>
      <c r="X39" s="39" t="n"/>
      <c r="Y39" s="35" t="inlineStr">
        <is>
          <t>Y</t>
        </is>
      </c>
      <c r="Z39" s="35" t="n">
        <v>0</v>
      </c>
      <c r="AA39" s="37">
        <f>IF(Y39="Y",C39*$B$4+Z39,0)</f>
        <v/>
      </c>
      <c r="AB39" s="37">
        <f>IF(AA39=0,0,MAX(IF(O39="Y",W39,M39),CEILING(AA39,IF(O39="Y",W39,M39))))</f>
        <v/>
      </c>
      <c r="AC39" s="37">
        <f>IF(O39="Y",P39,D39)&amp;""</f>
        <v/>
      </c>
      <c r="AD39" s="37">
        <f>IF(O39="Y",Q39,G39)&amp;""</f>
        <v/>
      </c>
      <c r="AE39" s="37">
        <f>IF(O39="Y",R39,H39)&amp;""</f>
        <v/>
      </c>
      <c r="AF39" s="37">
        <f>IF(O39="Y",S39,I39)&amp;""</f>
        <v/>
      </c>
      <c r="AG39" s="37">
        <f>IF(O39="Y",T39,J39)&amp;""</f>
        <v/>
      </c>
      <c r="AH39" s="38">
        <f>IF(OR(AF39="",Y39&lt;&gt;"Y"),"",INT(IF(O39="Y",V39,L39)/C39))</f>
        <v/>
      </c>
      <c r="AI39" s="40">
        <f>AB39*IF(O39="Y",X39,N39)</f>
        <v/>
      </c>
      <c r="AJ39" s="37" t="n"/>
      <c r="AK39" s="37">
        <f>IF(AF39="","",HYPERLINK("https://www.lcsc.com/product-detail/"&amp;AF39&amp;".html","open"))</f>
        <v/>
      </c>
    </row>
    <row r="40" ht="35.05" customHeight="1" s="24">
      <c r="A40" s="32" t="n">
        <v>33</v>
      </c>
      <c r="B40" s="32" t="inlineStr">
        <is>
          <t>SW1,SW2,SW3</t>
        </is>
      </c>
      <c r="C40" s="32" t="n">
        <v>3</v>
      </c>
      <c r="D40" s="32" t="inlineStr">
        <is>
          <t>RST / BOOT0 / POWER</t>
        </is>
      </c>
      <c r="E40" s="32" t="inlineStr">
        <is>
          <t>Tactile switch, SPST-NO, 250 gf, 2.5 mm height, SMT</t>
        </is>
      </c>
      <c r="F40" s="32" t="inlineStr">
        <is>
          <t>SW_Tactile_SPST_NO_Straight_CK_PTS636Sx25SMTRLFS</t>
        </is>
      </c>
      <c r="G40" s="32" t="inlineStr">
        <is>
          <t>C&amp;K</t>
        </is>
      </c>
      <c r="H40" s="32" t="inlineStr">
        <is>
          <t>PTS636SK25SMTRLFS</t>
        </is>
      </c>
      <c r="I40" s="32" t="inlineStr">
        <is>
          <t>C2689642</t>
        </is>
      </c>
      <c r="J40" s="32" t="inlineStr">
        <is>
          <t>Extended</t>
        </is>
      </c>
      <c r="K40" s="33" t="n">
        <v>3520</v>
      </c>
      <c r="L40" s="33" t="n">
        <v>3524</v>
      </c>
      <c r="M40" s="32" t="n">
        <v>5</v>
      </c>
      <c r="N40" s="34" t="n">
        <v>0.2615</v>
      </c>
      <c r="O40" s="35" t="inlineStr">
        <is>
          <t>N</t>
        </is>
      </c>
      <c r="P40" s="32" t="n"/>
      <c r="Q40" s="32" t="n"/>
      <c r="R40" s="32" t="n"/>
      <c r="S40" s="32" t="n"/>
      <c r="T40" s="32" t="n"/>
      <c r="U40" s="33" t="n"/>
      <c r="V40" s="33" t="n"/>
      <c r="W40" s="32" t="n"/>
      <c r="X40" s="34" t="n"/>
      <c r="Y40" s="35" t="inlineStr">
        <is>
          <t>Y</t>
        </is>
      </c>
      <c r="Z40" s="35" t="n">
        <v>0</v>
      </c>
      <c r="AA40" s="32">
        <f>IF(Y40="Y",C40*$B$4+Z40,0)</f>
        <v/>
      </c>
      <c r="AB40" s="32">
        <f>IF(AA40=0,0,MAX(IF(O40="Y",W40,M40),CEILING(AA40,IF(O40="Y",W40,M40))))</f>
        <v/>
      </c>
      <c r="AC40" s="32">
        <f>IF(O40="Y",P40,D40)&amp;""</f>
        <v/>
      </c>
      <c r="AD40" s="32">
        <f>IF(O40="Y",Q40,G40)&amp;""</f>
        <v/>
      </c>
      <c r="AE40" s="32">
        <f>IF(O40="Y",R40,H40)&amp;""</f>
        <v/>
      </c>
      <c r="AF40" s="32">
        <f>IF(O40="Y",S40,I40)&amp;""</f>
        <v/>
      </c>
      <c r="AG40" s="32">
        <f>IF(O40="Y",T40,J40)&amp;""</f>
        <v/>
      </c>
      <c r="AH40" s="33">
        <f>IF(OR(AF40="",Y40&lt;&gt;"Y"),"",INT(IF(O40="Y",V40,L40)/C40))</f>
        <v/>
      </c>
      <c r="AI40" s="36">
        <f>AB40*IF(O40="Y",X40,N40)</f>
        <v/>
      </c>
      <c r="AJ40" s="32" t="inlineStr">
        <is>
          <t>PTS636 SK25 (250 gf) because the SM25 (180 gf, C2799946) is out of stock at LCSC. Same footprint, slightly stiffer press.</t>
        </is>
      </c>
      <c r="AK40" s="32">
        <f>IF(AF40="","",HYPERLINK("https://www.lcsc.com/product-detail/"&amp;AF40&amp;".html","open"))</f>
        <v/>
      </c>
    </row>
    <row r="41" ht="23.85" customHeight="1" s="24">
      <c r="A41" s="37" t="n">
        <v>34</v>
      </c>
      <c r="B41" s="37" t="inlineStr">
        <is>
          <t>TH1</t>
        </is>
      </c>
      <c r="C41" s="37" t="n">
        <v>1</v>
      </c>
      <c r="D41" s="37" t="inlineStr">
        <is>
          <t>10k NTC</t>
        </is>
      </c>
      <c r="E41" s="37" t="inlineStr">
        <is>
          <t>NTC thermistor, 10 kΩ ±5%, B25/85 = 3977 K, leaded</t>
        </is>
      </c>
      <c r="F41" s="37" t="inlineStr">
        <is>
          <t>R_Axial_DIN0204_L3.6mm_D1.6mm_P1.90mm_Vertical</t>
        </is>
      </c>
      <c r="G41" s="37" t="inlineStr">
        <is>
          <t>VISHAY</t>
        </is>
      </c>
      <c r="H41" s="37" t="inlineStr">
        <is>
          <t>NTCLE100E3103JB0</t>
        </is>
      </c>
      <c r="I41" s="37" t="inlineStr">
        <is>
          <t>C141588</t>
        </is>
      </c>
      <c r="J41" s="37" t="inlineStr">
        <is>
          <t>Extended</t>
        </is>
      </c>
      <c r="K41" s="38" t="n">
        <v>266</v>
      </c>
      <c r="L41" s="38" t="n">
        <v>266</v>
      </c>
      <c r="M41" s="37" t="n">
        <v>1</v>
      </c>
      <c r="N41" s="39" t="n">
        <v>0.6261</v>
      </c>
      <c r="O41" s="35" t="inlineStr">
        <is>
          <t>N</t>
        </is>
      </c>
      <c r="P41" s="37" t="n"/>
      <c r="Q41" s="37" t="n"/>
      <c r="R41" s="37" t="n"/>
      <c r="S41" s="37" t="n"/>
      <c r="T41" s="37" t="n"/>
      <c r="U41" s="38" t="n"/>
      <c r="V41" s="38" t="n"/>
      <c r="W41" s="37" t="n"/>
      <c r="X41" s="39" t="n"/>
      <c r="Y41" s="35" t="inlineStr">
        <is>
          <t>Y</t>
        </is>
      </c>
      <c r="Z41" s="35" t="n">
        <v>0</v>
      </c>
      <c r="AA41" s="37">
        <f>IF(Y41="Y",C41*$B$4+Z41,0)</f>
        <v/>
      </c>
      <c r="AB41" s="37">
        <f>IF(AA41=0,0,MAX(IF(O41="Y",W41,M41),CEILING(AA41,IF(O41="Y",W41,M41))))</f>
        <v/>
      </c>
      <c r="AC41" s="37">
        <f>IF(O41="Y",P41,D41)&amp;""</f>
        <v/>
      </c>
      <c r="AD41" s="37">
        <f>IF(O41="Y",Q41,G41)&amp;""</f>
        <v/>
      </c>
      <c r="AE41" s="37">
        <f>IF(O41="Y",R41,H41)&amp;""</f>
        <v/>
      </c>
      <c r="AF41" s="37">
        <f>IF(O41="Y",S41,I41)&amp;""</f>
        <v/>
      </c>
      <c r="AG41" s="37">
        <f>IF(O41="Y",T41,J41)&amp;""</f>
        <v/>
      </c>
      <c r="AH41" s="38">
        <f>IF(OR(AF41="",Y41&lt;&gt;"Y"),"",INT(IF(O41="Y",V41,L41)/C41))</f>
        <v/>
      </c>
      <c r="AI41" s="40">
        <f>AB41*IF(O41="Y",X41,N41)</f>
        <v/>
      </c>
      <c r="AJ41" s="37" t="inlineStr">
        <is>
          <t>Through-hole; bend the leads to the 1.9 mm footprint pitch.</t>
        </is>
      </c>
      <c r="AK41" s="37">
        <f>IF(AF41="","",HYPERLINK("https://www.lcsc.com/product-detail/"&amp;AF41&amp;".html","open"))</f>
        <v/>
      </c>
    </row>
    <row r="42" ht="46.25" customHeight="1" s="24">
      <c r="A42" s="32" t="n">
        <v>35</v>
      </c>
      <c r="B42" s="32" t="inlineStr">
        <is>
          <t>U1</t>
        </is>
      </c>
      <c r="C42" s="32" t="n">
        <v>1</v>
      </c>
      <c r="D42" s="32" t="inlineStr">
        <is>
          <t>STM32L432KBU6</t>
        </is>
      </c>
      <c r="E42" s="32" t="inlineStr">
        <is>
          <t>MCU, Cortex-M4F 80 MHz, 128 kB flash, 64 kB RAM</t>
        </is>
      </c>
      <c r="F42" s="32" t="inlineStr">
        <is>
          <t>QFN-32-1EP_5x5mm_P0.5mm_EP3.45x3.45mm</t>
        </is>
      </c>
      <c r="G42" s="32" t="inlineStr">
        <is>
          <t>ST</t>
        </is>
      </c>
      <c r="H42" s="32" t="inlineStr">
        <is>
          <t>STM32L432KBU6</t>
        </is>
      </c>
      <c r="I42" s="32" t="inlineStr">
        <is>
          <t>C2928224</t>
        </is>
      </c>
      <c r="J42" s="32" t="inlineStr">
        <is>
          <t>Extended</t>
        </is>
      </c>
      <c r="K42" s="33" t="n"/>
      <c r="L42" s="33" t="n"/>
      <c r="M42" s="32" t="n">
        <v>1</v>
      </c>
      <c r="N42" s="34" t="n"/>
      <c r="O42" s="35" t="inlineStr">
        <is>
          <t>N</t>
        </is>
      </c>
      <c r="P42" s="32" t="n"/>
      <c r="Q42" s="32" t="n"/>
      <c r="R42" s="32" t="n"/>
      <c r="S42" s="32" t="n"/>
      <c r="T42" s="32" t="n"/>
      <c r="U42" s="33" t="n"/>
      <c r="V42" s="33" t="n"/>
      <c r="W42" s="32" t="n"/>
      <c r="X42" s="34" t="n"/>
      <c r="Y42" s="35" t="inlineStr">
        <is>
          <t>Y</t>
        </is>
      </c>
      <c r="Z42" s="35" t="n">
        <v>0</v>
      </c>
      <c r="AA42" s="32">
        <f>IF(Y42="Y",C42*$B$4+Z42,0)</f>
        <v/>
      </c>
      <c r="AB42" s="32">
        <f>IF(AA42=0,0,MAX(IF(O42="Y",W42,M42),CEILING(AA42,IF(O42="Y",W42,M42))))</f>
        <v/>
      </c>
      <c r="AC42" s="32">
        <f>IF(O42="Y",P42,D42)&amp;""</f>
        <v/>
      </c>
      <c r="AD42" s="32">
        <f>IF(O42="Y",Q42,G42)&amp;""</f>
        <v/>
      </c>
      <c r="AE42" s="32">
        <f>IF(O42="Y",R42,H42)&amp;""</f>
        <v/>
      </c>
      <c r="AF42" s="32">
        <f>IF(O42="Y",S42,I42)&amp;""</f>
        <v/>
      </c>
      <c r="AG42" s="32">
        <f>IF(O42="Y",T42,J42)&amp;""</f>
        <v/>
      </c>
      <c r="AH42" s="33">
        <f>IF(OR(AF42="",Y42&lt;&gt;"Y"),"",INT(IF(O42="Y",V42,L42)/C42))</f>
        <v/>
      </c>
      <c r="AI42" s="36">
        <f>AB42*IF(O42="Y",X42,N42)</f>
        <v/>
      </c>
      <c r="AJ42" s="32" t="inlineStr">
        <is>
          <t>128 kB part, as on the schematic and in production/bom.csv; the firmware keeps code (72 kB) and the log (56 kB) within 128 kB. Stock, price and JLCPCB library type not re-read for this part: check lcsc.com before ordering (cost counts 0 until then).</t>
        </is>
      </c>
      <c r="AK42" s="32">
        <f>IF(AF42="","",HYPERLINK("https://www.lcsc.com/product-detail/"&amp;AF42&amp;".html","open"))</f>
        <v/>
      </c>
    </row>
    <row r="43" ht="23.85" customHeight="1" s="24">
      <c r="A43" s="37" t="n">
        <v>36</v>
      </c>
      <c r="B43" s="37" t="inlineStr">
        <is>
          <t>U2</t>
        </is>
      </c>
      <c r="C43" s="37" t="n">
        <v>1</v>
      </c>
      <c r="D43" s="37" t="inlineStr">
        <is>
          <t>MCP73833</t>
        </is>
      </c>
      <c r="E43" s="37" t="inlineStr">
        <is>
          <t>Li-ion charger, 1 cell, 4.20 V, up to 1 A</t>
        </is>
      </c>
      <c r="F43" s="37" t="inlineStr">
        <is>
          <t>MSOP-10_3x3mm_P0.5mm</t>
        </is>
      </c>
      <c r="G43" s="37" t="inlineStr">
        <is>
          <t>MICROCHIP</t>
        </is>
      </c>
      <c r="H43" s="37" t="inlineStr">
        <is>
          <t>MCP73833T-AMI/UN</t>
        </is>
      </c>
      <c r="I43" s="37" t="inlineStr">
        <is>
          <t>C627668</t>
        </is>
      </c>
      <c r="J43" s="37" t="inlineStr">
        <is>
          <t>Extended</t>
        </is>
      </c>
      <c r="K43" s="38" t="n">
        <v>208</v>
      </c>
      <c r="L43" s="38" t="n">
        <v>208</v>
      </c>
      <c r="M43" s="37" t="n">
        <v>1</v>
      </c>
      <c r="N43" s="39" t="n">
        <v>1.9017</v>
      </c>
      <c r="O43" s="35" t="inlineStr">
        <is>
          <t>N</t>
        </is>
      </c>
      <c r="P43" s="37" t="n"/>
      <c r="Q43" s="37" t="n"/>
      <c r="R43" s="37" t="n"/>
      <c r="S43" s="37" t="n"/>
      <c r="T43" s="37" t="n"/>
      <c r="U43" s="38" t="n"/>
      <c r="V43" s="38" t="n"/>
      <c r="W43" s="37" t="n"/>
      <c r="X43" s="39" t="n"/>
      <c r="Y43" s="35" t="inlineStr">
        <is>
          <t>Y</t>
        </is>
      </c>
      <c r="Z43" s="35" t="n">
        <v>0</v>
      </c>
      <c r="AA43" s="37">
        <f>IF(Y43="Y",C43*$B$4+Z43,0)</f>
        <v/>
      </c>
      <c r="AB43" s="37">
        <f>IF(AA43=0,0,MAX(IF(O43="Y",W43,M43),CEILING(AA43,IF(O43="Y",W43,M43))))</f>
        <v/>
      </c>
      <c r="AC43" s="37">
        <f>IF(O43="Y",P43,D43)&amp;""</f>
        <v/>
      </c>
      <c r="AD43" s="37">
        <f>IF(O43="Y",Q43,G43)&amp;""</f>
        <v/>
      </c>
      <c r="AE43" s="37">
        <f>IF(O43="Y",R43,H43)&amp;""</f>
        <v/>
      </c>
      <c r="AF43" s="37">
        <f>IF(O43="Y",S43,I43)&amp;""</f>
        <v/>
      </c>
      <c r="AG43" s="37">
        <f>IF(O43="Y",T43,J43)&amp;""</f>
        <v/>
      </c>
      <c r="AH43" s="38">
        <f>IF(OR(AF43="",Y43&lt;&gt;"Y"),"",INT(IF(O43="Y",V43,L43)/C43))</f>
        <v/>
      </c>
      <c r="AI43" s="40">
        <f>AB43*IF(O43="Y",X43,N43)</f>
        <v/>
      </c>
      <c r="AJ43" s="37" t="inlineStr">
        <is>
          <t>MCP73833T-AMI/UN is the tape-and-reel version of MCP73833-AMI/UN (C511281, out of stock). AMI = 4.20 V.</t>
        </is>
      </c>
      <c r="AK43" s="37">
        <f>IF(AF43="","",HYPERLINK("https://www.lcsc.com/product-detail/"&amp;AF43&amp;".html","open"))</f>
        <v/>
      </c>
    </row>
    <row r="44" ht="23.85" customHeight="1" s="24">
      <c r="A44" s="32" t="n">
        <v>37</v>
      </c>
      <c r="B44" s="32" t="inlineStr">
        <is>
          <t>U3</t>
        </is>
      </c>
      <c r="C44" s="32" t="n">
        <v>1</v>
      </c>
      <c r="D44" s="32" t="inlineStr">
        <is>
          <t>TPS7A0233</t>
        </is>
      </c>
      <c r="E44" s="32" t="inlineStr">
        <is>
          <t>LDO, 3.3 V 200 mA, 25 nA IQ</t>
        </is>
      </c>
      <c r="F44" s="32" t="inlineStr">
        <is>
          <t>SOT23_DBV_TEX-L</t>
        </is>
      </c>
      <c r="G44" s="32" t="inlineStr">
        <is>
          <t>TI</t>
        </is>
      </c>
      <c r="H44" s="32" t="inlineStr">
        <is>
          <t>TPS7A0233PDBVR</t>
        </is>
      </c>
      <c r="I44" s="32" t="inlineStr">
        <is>
          <t>C2887324</t>
        </is>
      </c>
      <c r="J44" s="32" t="inlineStr">
        <is>
          <t>Extended</t>
        </is>
      </c>
      <c r="K44" s="33" t="n">
        <v>8793</v>
      </c>
      <c r="L44" s="33" t="n">
        <v>8793</v>
      </c>
      <c r="M44" s="32" t="n">
        <v>1</v>
      </c>
      <c r="N44" s="34" t="n">
        <v>0.5665</v>
      </c>
      <c r="O44" s="35" t="inlineStr">
        <is>
          <t>N</t>
        </is>
      </c>
      <c r="P44" s="32" t="n"/>
      <c r="Q44" s="32" t="n"/>
      <c r="R44" s="32" t="n"/>
      <c r="S44" s="32" t="n"/>
      <c r="T44" s="32" t="n"/>
      <c r="U44" s="33" t="n"/>
      <c r="V44" s="33" t="n"/>
      <c r="W44" s="32" t="n"/>
      <c r="X44" s="34" t="n"/>
      <c r="Y44" s="35" t="inlineStr">
        <is>
          <t>Y</t>
        </is>
      </c>
      <c r="Z44" s="35" t="n">
        <v>0</v>
      </c>
      <c r="AA44" s="32">
        <f>IF(Y44="Y",C44*$B$4+Z44,0)</f>
        <v/>
      </c>
      <c r="AB44" s="32">
        <f>IF(AA44=0,0,MAX(IF(O44="Y",W44,M44),CEILING(AA44,IF(O44="Y",W44,M44))))</f>
        <v/>
      </c>
      <c r="AC44" s="32">
        <f>IF(O44="Y",P44,D44)&amp;""</f>
        <v/>
      </c>
      <c r="AD44" s="32">
        <f>IF(O44="Y",Q44,G44)&amp;""</f>
        <v/>
      </c>
      <c r="AE44" s="32">
        <f>IF(O44="Y",R44,H44)&amp;""</f>
        <v/>
      </c>
      <c r="AF44" s="32">
        <f>IF(O44="Y",S44,I44)&amp;""</f>
        <v/>
      </c>
      <c r="AG44" s="32">
        <f>IF(O44="Y",T44,J44)&amp;""</f>
        <v/>
      </c>
      <c r="AH44" s="33">
        <f>IF(OR(AF44="",Y44&lt;&gt;"Y"),"",INT(IF(O44="Y",V44,L44)/C44))</f>
        <v/>
      </c>
      <c r="AI44" s="36">
        <f>AB44*IF(O44="Y",X44,N44)</f>
        <v/>
      </c>
      <c r="AJ44" s="32" t="n"/>
      <c r="AK44" s="32">
        <f>IF(AF44="","",HYPERLINK("https://www.lcsc.com/product-detail/"&amp;AF44&amp;".html","open"))</f>
        <v/>
      </c>
    </row>
    <row r="45" ht="35.05" customHeight="1" s="24">
      <c r="A45" s="37" t="n">
        <v>38</v>
      </c>
      <c r="B45" s="37" t="inlineStr">
        <is>
          <t>U5</t>
        </is>
      </c>
      <c r="C45" s="37" t="n">
        <v>1</v>
      </c>
      <c r="D45" s="37" t="inlineStr">
        <is>
          <t>ST25R3916</t>
        </is>
      </c>
      <c r="E45" s="37" t="inlineStr">
        <is>
          <t>NFC reader IC, 13.56 MHz, SPI</t>
        </is>
      </c>
      <c r="F45" s="37" t="inlineStr">
        <is>
          <t>QFN50P500X500X100-33N</t>
        </is>
      </c>
      <c r="G45" s="37" t="inlineStr">
        <is>
          <t>ST</t>
        </is>
      </c>
      <c r="H45" s="37" t="inlineStr">
        <is>
          <t>ST25R3916-AQWT</t>
        </is>
      </c>
      <c r="I45" s="37" t="inlineStr">
        <is>
          <t>C2908147</t>
        </is>
      </c>
      <c r="J45" s="37" t="inlineStr">
        <is>
          <t>Extended</t>
        </is>
      </c>
      <c r="K45" s="38" t="n">
        <v>100</v>
      </c>
      <c r="L45" s="38" t="n">
        <v>100</v>
      </c>
      <c r="M45" s="37" t="n">
        <v>1</v>
      </c>
      <c r="N45" s="39" t="n">
        <v>5.4546</v>
      </c>
      <c r="O45" s="35" t="inlineStr">
        <is>
          <t>N</t>
        </is>
      </c>
      <c r="P45" s="37" t="inlineStr">
        <is>
          <t>ST25R3916B</t>
        </is>
      </c>
      <c r="Q45" s="37" t="inlineStr">
        <is>
          <t>ST</t>
        </is>
      </c>
      <c r="R45" s="37" t="inlineStr">
        <is>
          <t>ST25R3916B-AQWT</t>
        </is>
      </c>
      <c r="S45" s="37" t="inlineStr">
        <is>
          <t>C5267436</t>
        </is>
      </c>
      <c r="T45" s="37" t="inlineStr">
        <is>
          <t>Extended</t>
        </is>
      </c>
      <c r="U45" s="38" t="n">
        <v>180</v>
      </c>
      <c r="V45" s="38" t="n">
        <v>180</v>
      </c>
      <c r="W45" s="37" t="n">
        <v>1</v>
      </c>
      <c r="X45" s="39" t="n">
        <v>4.8285</v>
      </c>
      <c r="Y45" s="35" t="inlineStr">
        <is>
          <t>Y</t>
        </is>
      </c>
      <c r="Z45" s="35" t="n">
        <v>0</v>
      </c>
      <c r="AA45" s="37">
        <f>IF(Y45="Y",C45*$B$4+Z45,0)</f>
        <v/>
      </c>
      <c r="AB45" s="37">
        <f>IF(AA45=0,0,MAX(IF(O45="Y",W45,M45),CEILING(AA45,IF(O45="Y",W45,M45))))</f>
        <v/>
      </c>
      <c r="AC45" s="37">
        <f>IF(O45="Y",P45,D45)&amp;""</f>
        <v/>
      </c>
      <c r="AD45" s="37">
        <f>IF(O45="Y",Q45,G45)&amp;""</f>
        <v/>
      </c>
      <c r="AE45" s="37">
        <f>IF(O45="Y",R45,H45)&amp;""</f>
        <v/>
      </c>
      <c r="AF45" s="37">
        <f>IF(O45="Y",S45,I45)&amp;""</f>
        <v/>
      </c>
      <c r="AG45" s="37">
        <f>IF(O45="Y",T45,J45)&amp;""</f>
        <v/>
      </c>
      <c r="AH45" s="38">
        <f>IF(OR(AF45="",Y45&lt;&gt;"Y"),"",INT(IF(O45="Y",V45,L45)/C45))</f>
        <v/>
      </c>
      <c r="AI45" s="40">
        <f>AB45*IF(O45="Y",X45,N45)</f>
        <v/>
      </c>
      <c r="AJ45" s="37" t="inlineStr">
        <is>
          <t>In stock at LCSC (unlike Digi-Key), but only about 100. The alternate is the newer ST25R3916B-AQWT; check its datasheet for differences before swapping.</t>
        </is>
      </c>
      <c r="AK45" s="37">
        <f>IF(AF45="","",HYPERLINK("https://www.lcsc.com/product-detail/"&amp;AF45&amp;".html","open"))</f>
        <v/>
      </c>
    </row>
    <row r="46" ht="23.85" customHeight="1" s="24">
      <c r="A46" s="32" t="n">
        <v>39</v>
      </c>
      <c r="B46" s="32" t="inlineStr">
        <is>
          <t>U6</t>
        </is>
      </c>
      <c r="C46" s="32" t="n">
        <v>1</v>
      </c>
      <c r="D46" s="32" t="inlineStr">
        <is>
          <t>USBLC6-2SC6</t>
        </is>
      </c>
      <c r="E46" s="32" t="inlineStr">
        <is>
          <t>USB ESD protection, 2 lines + VBUS</t>
        </is>
      </c>
      <c r="F46" s="32" t="inlineStr">
        <is>
          <t>SOT-23-6</t>
        </is>
      </c>
      <c r="G46" s="32" t="inlineStr">
        <is>
          <t>ST</t>
        </is>
      </c>
      <c r="H46" s="32" t="inlineStr">
        <is>
          <t>USBLC6-2SC6</t>
        </is>
      </c>
      <c r="I46" s="32" t="inlineStr">
        <is>
          <t>C7519</t>
        </is>
      </c>
      <c r="J46" s="32" t="inlineStr">
        <is>
          <t>Extended</t>
        </is>
      </c>
      <c r="K46" s="33" t="n">
        <v>43755</v>
      </c>
      <c r="L46" s="33" t="n">
        <v>45736</v>
      </c>
      <c r="M46" s="32" t="n">
        <v>5</v>
      </c>
      <c r="N46" s="34" t="n">
        <v>0.1778</v>
      </c>
      <c r="O46" s="35" t="inlineStr">
        <is>
          <t>N</t>
        </is>
      </c>
      <c r="P46" s="32" t="n"/>
      <c r="Q46" s="32" t="n"/>
      <c r="R46" s="32" t="n"/>
      <c r="S46" s="32" t="n"/>
      <c r="T46" s="32" t="n"/>
      <c r="U46" s="33" t="n"/>
      <c r="V46" s="33" t="n"/>
      <c r="W46" s="32" t="n"/>
      <c r="X46" s="34" t="n"/>
      <c r="Y46" s="35" t="inlineStr">
        <is>
          <t>Y</t>
        </is>
      </c>
      <c r="Z46" s="35" t="n">
        <v>0</v>
      </c>
      <c r="AA46" s="32">
        <f>IF(Y46="Y",C46*$B$4+Z46,0)</f>
        <v/>
      </c>
      <c r="AB46" s="32">
        <f>IF(AA46=0,0,MAX(IF(O46="Y",W46,M46),CEILING(AA46,IF(O46="Y",W46,M46))))</f>
        <v/>
      </c>
      <c r="AC46" s="32">
        <f>IF(O46="Y",P46,D46)&amp;""</f>
        <v/>
      </c>
      <c r="AD46" s="32">
        <f>IF(O46="Y",Q46,G46)&amp;""</f>
        <v/>
      </c>
      <c r="AE46" s="32">
        <f>IF(O46="Y",R46,H46)&amp;""</f>
        <v/>
      </c>
      <c r="AF46" s="32">
        <f>IF(O46="Y",S46,I46)&amp;""</f>
        <v/>
      </c>
      <c r="AG46" s="32">
        <f>IF(O46="Y",T46,J46)&amp;""</f>
        <v/>
      </c>
      <c r="AH46" s="33">
        <f>IF(OR(AF46="",Y46&lt;&gt;"Y"),"",INT(IF(O46="Y",V46,L46)/C46))</f>
        <v/>
      </c>
      <c r="AI46" s="36">
        <f>AB46*IF(O46="Y",X46,N46)</f>
        <v/>
      </c>
      <c r="AJ46" s="32" t="inlineStr">
        <is>
          <t>Genuine ST part.</t>
        </is>
      </c>
      <c r="AK46" s="32">
        <f>IF(AF46="","",HYPERLINK("https://www.lcsc.com/product-detail/"&amp;AF46&amp;".html","open"))</f>
        <v/>
      </c>
    </row>
    <row r="47" ht="35.05" customHeight="1" s="24">
      <c r="A47" s="37" t="n">
        <v>40</v>
      </c>
      <c r="B47" s="37" t="inlineStr">
        <is>
          <t>Y1</t>
        </is>
      </c>
      <c r="C47" s="37" t="n">
        <v>1</v>
      </c>
      <c r="D47" s="37" t="inlineStr">
        <is>
          <t>27.12MHz</t>
        </is>
      </c>
      <c r="E47" s="37" t="inlineStr">
        <is>
          <t>Crystal, 27.12 MHz, CL 10 pF, ±10 ppm, 50 Ω</t>
        </is>
      </c>
      <c r="F47" s="37" t="inlineStr">
        <is>
          <t>Crystal_SMD_3225-4Pin_3.2x2.5mm_HandSoldering</t>
        </is>
      </c>
      <c r="G47" s="37" t="inlineStr">
        <is>
          <t>YXC Crystal Oscillators</t>
        </is>
      </c>
      <c r="H47" s="37" t="inlineStr">
        <is>
          <t>X32252712MMB4SI</t>
        </is>
      </c>
      <c r="I47" s="37" t="inlineStr">
        <is>
          <t>C29975</t>
        </is>
      </c>
      <c r="J47" s="37" t="inlineStr">
        <is>
          <t>Extended</t>
        </is>
      </c>
      <c r="K47" s="38" t="n">
        <v>6440</v>
      </c>
      <c r="L47" s="38" t="n">
        <v>9243</v>
      </c>
      <c r="M47" s="37" t="n">
        <v>5</v>
      </c>
      <c r="N47" s="39" t="n">
        <v>0.1106</v>
      </c>
      <c r="O47" s="35" t="inlineStr">
        <is>
          <t>N</t>
        </is>
      </c>
      <c r="P47" s="37" t="n"/>
      <c r="Q47" s="37" t="n"/>
      <c r="R47" s="37" t="n"/>
      <c r="S47" s="37" t="n"/>
      <c r="T47" s="37" t="n"/>
      <c r="U47" s="38" t="n"/>
      <c r="V47" s="38" t="n"/>
      <c r="W47" s="37" t="n"/>
      <c r="X47" s="39" t="n"/>
      <c r="Y47" s="35" t="inlineStr">
        <is>
          <t>Y</t>
        </is>
      </c>
      <c r="Z47" s="35" t="n">
        <v>0</v>
      </c>
      <c r="AA47" s="37">
        <f>IF(Y47="Y",C47*$B$4+Z47,0)</f>
        <v/>
      </c>
      <c r="AB47" s="37">
        <f>IF(AA47=0,0,MAX(IF(O47="Y",W47,M47),CEILING(AA47,IF(O47="Y",W47,M47))))</f>
        <v/>
      </c>
      <c r="AC47" s="37">
        <f>IF(O47="Y",P47,D47)&amp;""</f>
        <v/>
      </c>
      <c r="AD47" s="37">
        <f>IF(O47="Y",Q47,G47)&amp;""</f>
        <v/>
      </c>
      <c r="AE47" s="37">
        <f>IF(O47="Y",R47,H47)&amp;""</f>
        <v/>
      </c>
      <c r="AF47" s="37">
        <f>IF(O47="Y",S47,I47)&amp;""</f>
        <v/>
      </c>
      <c r="AG47" s="37">
        <f>IF(O47="Y",T47,J47)&amp;""</f>
        <v/>
      </c>
      <c r="AH47" s="38">
        <f>IF(OR(AF47="",Y47&lt;&gt;"Y"),"",INT(IF(O47="Y",V47,L47)/C47))</f>
        <v/>
      </c>
      <c r="AI47" s="40">
        <f>AB47*IF(O47="Y",X47,N47)</f>
        <v/>
      </c>
      <c r="AJ47" s="37" t="inlineStr">
        <is>
          <t>CL 10 pF matches C9/C10 = 15 pF. The Abracon ABM8 part (C1986308) has only 1 in stock.</t>
        </is>
      </c>
      <c r="AK47" s="37">
        <f>IF(AF47="","",HYPERLINK("https://www.lcsc.com/product-detail/"&amp;AF47&amp;".html","open"))</f>
        <v/>
      </c>
    </row>
    <row r="48" ht="23.85" customHeight="1" s="24">
      <c r="A48" s="32" t="n">
        <v>41</v>
      </c>
      <c r="B48" s="32" t="inlineStr">
        <is>
          <t>Y2</t>
        </is>
      </c>
      <c r="C48" s="32" t="n">
        <v>1</v>
      </c>
      <c r="D48" s="32" t="inlineStr">
        <is>
          <t>32.768k</t>
        </is>
      </c>
      <c r="E48" s="32" t="inlineStr">
        <is>
          <t>Crystal, 32.768 kHz, CL 6 pF, ±20 ppm, 3.2x1.5 mm</t>
        </is>
      </c>
      <c r="F48" s="32" t="inlineStr">
        <is>
          <t>Crystal_SMD_EuroQuartz_EQ161-2Pin_3.2x1.5mm</t>
        </is>
      </c>
      <c r="G48" s="32" t="inlineStr">
        <is>
          <t>EPSON</t>
        </is>
      </c>
      <c r="H48" s="32" t="inlineStr">
        <is>
          <t>Q13FC13500049</t>
        </is>
      </c>
      <c r="I48" s="32" t="inlineStr">
        <is>
          <t>C95361</t>
        </is>
      </c>
      <c r="J48" s="32" t="inlineStr">
        <is>
          <t>Extended</t>
        </is>
      </c>
      <c r="K48" s="33" t="n">
        <v>129910</v>
      </c>
      <c r="L48" s="33" t="n">
        <v>136924</v>
      </c>
      <c r="M48" s="32" t="n">
        <v>5</v>
      </c>
      <c r="N48" s="34" t="n">
        <v>0.2032</v>
      </c>
      <c r="O48" s="35" t="inlineStr">
        <is>
          <t>N</t>
        </is>
      </c>
      <c r="P48" s="32" t="n"/>
      <c r="Q48" s="32" t="n"/>
      <c r="R48" s="32" t="n"/>
      <c r="S48" s="32" t="n"/>
      <c r="T48" s="32" t="n"/>
      <c r="U48" s="33" t="n"/>
      <c r="V48" s="33" t="n"/>
      <c r="W48" s="32" t="n"/>
      <c r="X48" s="34" t="n"/>
      <c r="Y48" s="35" t="inlineStr">
        <is>
          <t>Y</t>
        </is>
      </c>
      <c r="Z48" s="35" t="n">
        <v>0</v>
      </c>
      <c r="AA48" s="32">
        <f>IF(Y48="Y",C48*$B$4+Z48,0)</f>
        <v/>
      </c>
      <c r="AB48" s="32">
        <f>IF(AA48=0,0,MAX(IF(O48="Y",W48,M48),CEILING(AA48,IF(O48="Y",W48,M48))))</f>
        <v/>
      </c>
      <c r="AC48" s="32">
        <f>IF(O48="Y",P48,D48)&amp;""</f>
        <v/>
      </c>
      <c r="AD48" s="32">
        <f>IF(O48="Y",Q48,G48)&amp;""</f>
        <v/>
      </c>
      <c r="AE48" s="32">
        <f>IF(O48="Y",R48,H48)&amp;""</f>
        <v/>
      </c>
      <c r="AF48" s="32">
        <f>IF(O48="Y",S48,I48)&amp;""</f>
        <v/>
      </c>
      <c r="AG48" s="32">
        <f>IF(O48="Y",T48,J48)&amp;""</f>
        <v/>
      </c>
      <c r="AH48" s="33">
        <f>IF(OR(AF48="",Y48&lt;&gt;"Y"),"",INT(IF(O48="Y",V48,L48)/C48))</f>
        <v/>
      </c>
      <c r="AI48" s="36">
        <f>AB48*IF(O48="Y",X48,N48)</f>
        <v/>
      </c>
      <c r="AJ48" s="32" t="inlineStr">
        <is>
          <t>Epson FC-135. No 4 pF crystal comes in 3.2x1.5 mm at LCSC (4 pF parts are 2.0x1.2 mm), so C6/C7 are 8.2 pF.</t>
        </is>
      </c>
      <c r="AK48" s="32">
        <f>IF(AF48="","",HYPERLINK("https://www.lcsc.com/product-detail/"&amp;AF48&amp;".html","open"))</f>
        <v/>
      </c>
    </row>
    <row r="49" ht="23.85" customHeight="1" s="24">
      <c r="A49" s="37" t="n">
        <v>42</v>
      </c>
      <c r="B49" s="37" t="inlineStr">
        <is>
          <t>AE3</t>
        </is>
      </c>
      <c r="C49" s="37" t="n">
        <v>1</v>
      </c>
      <c r="D49" s="37" t="inlineStr">
        <is>
          <t>Antenna_Loop</t>
        </is>
      </c>
      <c r="E49" s="37" t="inlineStr">
        <is>
          <t>NFC loop antenna (PCB copper)</t>
        </is>
      </c>
      <c r="F49" s="37" t="inlineStr">
        <is>
          <t>NFC_Loop_40x30_3T</t>
        </is>
      </c>
      <c r="G49" s="37" t="n"/>
      <c r="H49" s="37" t="n"/>
      <c r="I49" s="37" t="n"/>
      <c r="J49" s="37" t="n"/>
      <c r="K49" s="38" t="n"/>
      <c r="L49" s="38" t="n"/>
      <c r="M49" s="37" t="n"/>
      <c r="N49" s="39" t="n"/>
      <c r="O49" s="35" t="inlineStr">
        <is>
          <t>N</t>
        </is>
      </c>
      <c r="P49" s="37" t="n"/>
      <c r="Q49" s="37" t="n"/>
      <c r="R49" s="37" t="n"/>
      <c r="S49" s="37" t="n"/>
      <c r="T49" s="37" t="n"/>
      <c r="U49" s="38" t="n"/>
      <c r="V49" s="38" t="n"/>
      <c r="W49" s="37" t="n"/>
      <c r="X49" s="39" t="n"/>
      <c r="Y49" s="35" t="inlineStr">
        <is>
          <t>N</t>
        </is>
      </c>
      <c r="Z49" s="35" t="n">
        <v>0</v>
      </c>
      <c r="AA49" s="37">
        <f>IF(Y49="Y",C49*$B$4+Z49,0)</f>
        <v/>
      </c>
      <c r="AB49" s="37">
        <f>IF(AA49=0,0,MAX(IF(O49="Y",W49,M49),CEILING(AA49,IF(O49="Y",W49,M49))))</f>
        <v/>
      </c>
      <c r="AC49" s="37">
        <f>IF(O49="Y",P49,D49)&amp;""</f>
        <v/>
      </c>
      <c r="AD49" s="37">
        <f>IF(O49="Y",Q49,G49)&amp;""</f>
        <v/>
      </c>
      <c r="AE49" s="37">
        <f>IF(O49="Y",R49,H49)&amp;""</f>
        <v/>
      </c>
      <c r="AF49" s="37">
        <f>IF(O49="Y",S49,I49)&amp;""</f>
        <v/>
      </c>
      <c r="AG49" s="37">
        <f>IF(O49="Y",T49,J49)&amp;""</f>
        <v/>
      </c>
      <c r="AH49" s="38">
        <f>IF(OR(AF49="",Y49&lt;&gt;"Y"),"",INT(IF(O49="Y",V49,L49)/C49))</f>
        <v/>
      </c>
      <c r="AI49" s="40">
        <f>AB49*IF(O49="Y",X49,N49)</f>
        <v/>
      </c>
      <c r="AJ49" s="37" t="inlineStr">
        <is>
          <t>Etched on the PCB: nothing to buy.</t>
        </is>
      </c>
      <c r="AK49" s="37">
        <f>IF(AF49="","",HYPERLINK("https://www.lcsc.com/product-detail/"&amp;AF49&amp;".html","open"))</f>
        <v/>
      </c>
    </row>
    <row r="50" ht="15" customHeight="1" s="24">
      <c r="A50" s="32" t="n">
        <v>43</v>
      </c>
      <c r="B50" s="32" t="inlineStr">
        <is>
          <t>(cable) J2 mate</t>
        </is>
      </c>
      <c r="C50" s="32" t="n">
        <v>1</v>
      </c>
      <c r="D50" s="32" t="inlineStr">
        <is>
          <t>XAP-02V-1</t>
        </is>
      </c>
      <c r="E50" s="32" t="inlineStr">
        <is>
          <t>Battery cable: JST XA 2-pos housing</t>
        </is>
      </c>
      <c r="F50" s="32" t="n"/>
      <c r="G50" s="32" t="inlineStr">
        <is>
          <t>JST</t>
        </is>
      </c>
      <c r="H50" s="32" t="inlineStr">
        <is>
          <t>XAP-02V-1</t>
        </is>
      </c>
      <c r="I50" s="32" t="inlineStr">
        <is>
          <t>C157892</t>
        </is>
      </c>
      <c r="J50" s="32" t="inlineStr">
        <is>
          <t>Extended</t>
        </is>
      </c>
      <c r="K50" s="33" t="n">
        <v>48240</v>
      </c>
      <c r="L50" s="33" t="n">
        <v>48250</v>
      </c>
      <c r="M50" s="32" t="n">
        <v>20</v>
      </c>
      <c r="N50" s="34" t="n">
        <v>0.0358</v>
      </c>
      <c r="O50" s="35" t="inlineStr">
        <is>
          <t>N</t>
        </is>
      </c>
      <c r="P50" s="32" t="n"/>
      <c r="Q50" s="32" t="n"/>
      <c r="R50" s="32" t="n"/>
      <c r="S50" s="32" t="n"/>
      <c r="T50" s="32" t="n"/>
      <c r="U50" s="33" t="n"/>
      <c r="V50" s="33" t="n"/>
      <c r="W50" s="32" t="n"/>
      <c r="X50" s="34" t="n"/>
      <c r="Y50" s="35" t="inlineStr">
        <is>
          <t>N</t>
        </is>
      </c>
      <c r="Z50" s="35" t="n">
        <v>0</v>
      </c>
      <c r="AA50" s="32">
        <f>IF(Y50="Y",C50*$B$4+Z50,0)</f>
        <v/>
      </c>
      <c r="AB50" s="32">
        <f>IF(AA50=0,0,MAX(IF(O50="Y",W50,M50),CEILING(AA50,IF(O50="Y",W50,M50))))</f>
        <v/>
      </c>
      <c r="AC50" s="32">
        <f>IF(O50="Y",P50,D50)&amp;""</f>
        <v/>
      </c>
      <c r="AD50" s="32">
        <f>IF(O50="Y",Q50,G50)&amp;""</f>
        <v/>
      </c>
      <c r="AE50" s="32">
        <f>IF(O50="Y",R50,H50)&amp;""</f>
        <v/>
      </c>
      <c r="AF50" s="32">
        <f>IF(O50="Y",S50,I50)&amp;""</f>
        <v/>
      </c>
      <c r="AG50" s="32">
        <f>IF(O50="Y",T50,J50)&amp;""</f>
        <v/>
      </c>
      <c r="AH50" s="33">
        <f>IF(OR(AF50="",Y50&lt;&gt;"Y"),"",INT(IF(O50="Y",V50,L50)/C50))</f>
        <v/>
      </c>
      <c r="AI50" s="36">
        <f>AB50*IF(O50="Y",X50,N50)</f>
        <v/>
      </c>
      <c r="AJ50" s="32" t="inlineStr">
        <is>
          <t>Optional: only if you make the battery lead yourself. Set Include = Y.</t>
        </is>
      </c>
      <c r="AK50" s="32">
        <f>IF(AF50="","",HYPERLINK("https://www.lcsc.com/product-detail/"&amp;AF50&amp;".html","open"))</f>
        <v/>
      </c>
    </row>
    <row r="51" ht="23.85" customHeight="1" s="24">
      <c r="A51" s="37" t="n">
        <v>44</v>
      </c>
      <c r="B51" s="37" t="inlineStr">
        <is>
          <t>(cable) J2 mate</t>
        </is>
      </c>
      <c r="C51" s="37" t="n">
        <v>2</v>
      </c>
      <c r="D51" s="37" t="inlineStr">
        <is>
          <t>SXA-001T-P0.6</t>
        </is>
      </c>
      <c r="E51" s="37" t="inlineStr">
        <is>
          <t>Battery cable: JST XA crimp contact, 22-28 AWG</t>
        </is>
      </c>
      <c r="F51" s="37" t="n"/>
      <c r="G51" s="37" t="inlineStr">
        <is>
          <t>JST</t>
        </is>
      </c>
      <c r="H51" s="37" t="inlineStr">
        <is>
          <t>SXA-001T-P0.6</t>
        </is>
      </c>
      <c r="I51" s="37" t="inlineStr">
        <is>
          <t>C246759</t>
        </is>
      </c>
      <c r="J51" s="37" t="inlineStr">
        <is>
          <t>Extended</t>
        </is>
      </c>
      <c r="K51" s="38" t="n">
        <v>328100</v>
      </c>
      <c r="L51" s="38" t="n">
        <v>328137</v>
      </c>
      <c r="M51" s="37" t="n">
        <v>50</v>
      </c>
      <c r="N51" s="39" t="n">
        <v>0.0129</v>
      </c>
      <c r="O51" s="35" t="inlineStr">
        <is>
          <t>N</t>
        </is>
      </c>
      <c r="P51" s="37" t="n"/>
      <c r="Q51" s="37" t="n"/>
      <c r="R51" s="37" t="n"/>
      <c r="S51" s="37" t="n"/>
      <c r="T51" s="37" t="n"/>
      <c r="U51" s="38" t="n"/>
      <c r="V51" s="38" t="n"/>
      <c r="W51" s="37" t="n"/>
      <c r="X51" s="39" t="n"/>
      <c r="Y51" s="35" t="inlineStr">
        <is>
          <t>N</t>
        </is>
      </c>
      <c r="Z51" s="35" t="n">
        <v>0</v>
      </c>
      <c r="AA51" s="37">
        <f>IF(Y51="Y",C51*$B$4+Z51,0)</f>
        <v/>
      </c>
      <c r="AB51" s="37">
        <f>IF(AA51=0,0,MAX(IF(O51="Y",W51,M51),CEILING(AA51,IF(O51="Y",W51,M51))))</f>
        <v/>
      </c>
      <c r="AC51" s="37">
        <f>IF(O51="Y",P51,D51)&amp;""</f>
        <v/>
      </c>
      <c r="AD51" s="37">
        <f>IF(O51="Y",Q51,G51)&amp;""</f>
        <v/>
      </c>
      <c r="AE51" s="37">
        <f>IF(O51="Y",R51,H51)&amp;""</f>
        <v/>
      </c>
      <c r="AF51" s="37">
        <f>IF(O51="Y",S51,I51)&amp;""</f>
        <v/>
      </c>
      <c r="AG51" s="37">
        <f>IF(O51="Y",T51,J51)&amp;""</f>
        <v/>
      </c>
      <c r="AH51" s="38">
        <f>IF(OR(AF51="",Y51&lt;&gt;"Y"),"",INT(IF(O51="Y",V51,L51)/C51))</f>
        <v/>
      </c>
      <c r="AI51" s="40">
        <f>AB51*IF(O51="Y",X51,N51)</f>
        <v/>
      </c>
      <c r="AJ51" s="37" t="inlineStr">
        <is>
          <t>Optional. Needs a JST XA crimp tool.</t>
        </is>
      </c>
      <c r="AK51" s="37">
        <f>IF(AF51="","",HYPERLINK("https://www.lcsc.com/product-detail/"&amp;AF51&amp;".html","open"))</f>
        <v/>
      </c>
    </row>
    <row r="53" ht="32.8" customHeight="1" s="24">
      <c r="AF53" s="29" t="inlineStr">
        <is>
          <t>Estimated LCSC parts total (USD)</t>
        </is>
      </c>
      <c r="AI53" s="41">
        <f>SUM(AI8:AI51)</f>
        <v/>
      </c>
      <c r="AJ53" s="42" t="inlineStr">
        <is>
          <t>Estimate only, at the price for the LCSC minimum lot. Excludes the PCB, JLCPCB assembly and loading fees, battery, motor, PN532 module, shipping and tax.</t>
        </is>
      </c>
    </row>
    <row r="54" ht="15" customHeight="1" s="24">
      <c r="AF54" s="43" t="inlineStr">
        <is>
          <t>Lines to order (order qty &gt; 0)</t>
        </is>
      </c>
      <c r="AI54" s="44">
        <f>COUNTIF(AB8:AB51,"&gt;0")</f>
        <v/>
      </c>
    </row>
    <row r="55" ht="15" customHeight="1" s="24">
      <c r="AF55" s="43" t="inlineStr">
        <is>
          <t>JLCPCB Extended part types (each has a loading fee)</t>
        </is>
      </c>
      <c r="AI55" s="44">
        <f>COUNTIFS(AG8:AG51,"Extended",AB8:AB51,"&gt;0")</f>
        <v/>
      </c>
    </row>
    <row r="56" ht="15" customHeight="1" s="24">
      <c r="AF56" s="43" t="inlineStr">
        <is>
          <t>JLCPCB Basic / Preferred ext. types (no loading fee)</t>
        </is>
      </c>
      <c r="AI56" s="44">
        <f>COUNTIFS(AG8:AG51,"Basic",AB8:AB51,"&gt;0")+COUNTIFS(AG8:AG51,"Preferred ext.",AB8:AB51,"&gt;0")</f>
        <v/>
      </c>
    </row>
  </sheetData>
  <autoFilter ref="A7:AK51"/>
  <conditionalFormatting sqref="K8:K51">
    <cfRule type="expression" rank="0" priority="2" equalAverage="0" aboveAverage="0" dxfId="7" text="" percent="0" bottom="0">
      <formula>AND($O8&lt;&gt;"Y",$Y8="Y",K8&lt;$AB8)</formula>
    </cfRule>
  </conditionalFormatting>
  <conditionalFormatting sqref="L8:L51">
    <cfRule type="expression" rank="0" priority="3" equalAverage="0" aboveAverage="0" dxfId="7" text="" percent="0" bottom="0">
      <formula>AND($O8&lt;&gt;"Y",$Y8="Y",L8&lt;$AA8)</formula>
    </cfRule>
  </conditionalFormatting>
  <conditionalFormatting sqref="U8:U51">
    <cfRule type="expression" rank="0" priority="4" equalAverage="0" aboveAverage="0" dxfId="7" text="" percent="0" bottom="0">
      <formula>AND($O8="Y",$Y8="Y",U8&lt;$AB8)</formula>
    </cfRule>
  </conditionalFormatting>
  <conditionalFormatting sqref="V8:V51">
    <cfRule type="expression" rank="0" priority="5" equalAverage="0" aboveAverage="0" dxfId="7" text="" percent="0" bottom="0">
      <formula>AND($O8="Y",$Y8="Y",V8&lt;$AA8)</formula>
    </cfRule>
  </conditionalFormatting>
  <conditionalFormatting sqref="AH8:AH51">
    <cfRule type="expression" rank="0" priority="6" equalAverage="0" aboveAverage="0" dxfId="7" text="" percent="0" bottom="0">
      <formula>AND(ISNUMBER(AH8),AH8&lt;$B$4)</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4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6" customWidth="1" style="23" min="1" max="1"/>
    <col width="45" customWidth="1" style="23" min="2" max="3"/>
    <col width="14" customWidth="1" style="23" min="4" max="4"/>
  </cols>
  <sheetData>
    <row r="1" ht="15" customHeight="1" s="24">
      <c r="A1" s="45" t="inlineStr">
        <is>
          <t>Comment</t>
        </is>
      </c>
      <c r="B1" s="45" t="inlineStr">
        <is>
          <t>Designator</t>
        </is>
      </c>
      <c r="C1" s="45" t="inlineStr">
        <is>
          <t>Footprint</t>
        </is>
      </c>
      <c r="D1" s="45" t="inlineStr">
        <is>
          <t>LCSC Part #</t>
        </is>
      </c>
    </row>
    <row r="2" ht="15" customHeight="1" s="24">
      <c r="A2" s="46">
        <f>BOM!AC8</f>
        <v/>
      </c>
      <c r="B2" s="46">
        <f>BOM!B8</f>
        <v/>
      </c>
      <c r="C2" s="46">
        <f>BOM!F8</f>
        <v/>
      </c>
      <c r="D2" s="46">
        <f>BOM!AF8</f>
        <v/>
      </c>
    </row>
    <row r="3" ht="15" customHeight="1" s="24">
      <c r="A3" s="46">
        <f>BOM!AC9</f>
        <v/>
      </c>
      <c r="B3" s="46">
        <f>BOM!B9</f>
        <v/>
      </c>
      <c r="C3" s="46">
        <f>BOM!F9</f>
        <v/>
      </c>
      <c r="D3" s="46">
        <f>BOM!AF9</f>
        <v/>
      </c>
    </row>
    <row r="4" ht="15" customHeight="1" s="24">
      <c r="A4" s="46">
        <f>BOM!AC10</f>
        <v/>
      </c>
      <c r="B4" s="46">
        <f>BOM!B10</f>
        <v/>
      </c>
      <c r="C4" s="46">
        <f>BOM!F10</f>
        <v/>
      </c>
      <c r="D4" s="46">
        <f>BOM!AF10</f>
        <v/>
      </c>
    </row>
    <row r="5" ht="15" customHeight="1" s="24">
      <c r="A5" s="46">
        <f>BOM!AC11</f>
        <v/>
      </c>
      <c r="B5" s="46">
        <f>BOM!B11</f>
        <v/>
      </c>
      <c r="C5" s="46">
        <f>BOM!F11</f>
        <v/>
      </c>
      <c r="D5" s="46">
        <f>BOM!AF11</f>
        <v/>
      </c>
    </row>
    <row r="6" ht="15" customHeight="1" s="24">
      <c r="A6" s="46">
        <f>BOM!AC12</f>
        <v/>
      </c>
      <c r="B6" s="46">
        <f>BOM!B12</f>
        <v/>
      </c>
      <c r="C6" s="46">
        <f>BOM!F12</f>
        <v/>
      </c>
      <c r="D6" s="46">
        <f>BOM!AF12</f>
        <v/>
      </c>
    </row>
    <row r="7" ht="15" customHeight="1" s="24">
      <c r="A7" s="46">
        <f>BOM!AC13</f>
        <v/>
      </c>
      <c r="B7" s="46">
        <f>BOM!B13</f>
        <v/>
      </c>
      <c r="C7" s="46">
        <f>BOM!F13</f>
        <v/>
      </c>
      <c r="D7" s="46">
        <f>BOM!AF13</f>
        <v/>
      </c>
    </row>
    <row r="8" ht="15" customHeight="1" s="24">
      <c r="A8" s="46">
        <f>BOM!AC14</f>
        <v/>
      </c>
      <c r="B8" s="46">
        <f>BOM!B14</f>
        <v/>
      </c>
      <c r="C8" s="46">
        <f>BOM!F14</f>
        <v/>
      </c>
      <c r="D8" s="46">
        <f>BOM!AF14</f>
        <v/>
      </c>
    </row>
    <row r="9" ht="15" customHeight="1" s="24">
      <c r="A9" s="46">
        <f>BOM!AC15</f>
        <v/>
      </c>
      <c r="B9" s="46">
        <f>BOM!B15</f>
        <v/>
      </c>
      <c r="C9" s="46">
        <f>BOM!F15</f>
        <v/>
      </c>
      <c r="D9" s="46">
        <f>BOM!AF15</f>
        <v/>
      </c>
    </row>
    <row r="10" ht="15" customHeight="1" s="24">
      <c r="A10" s="46">
        <f>BOM!AC16</f>
        <v/>
      </c>
      <c r="B10" s="46">
        <f>BOM!B16</f>
        <v/>
      </c>
      <c r="C10" s="46">
        <f>BOM!F16</f>
        <v/>
      </c>
      <c r="D10" s="46">
        <f>BOM!AF16</f>
        <v/>
      </c>
    </row>
    <row r="11" ht="15" customHeight="1" s="24">
      <c r="A11" s="46">
        <f>BOM!AC17</f>
        <v/>
      </c>
      <c r="B11" s="46">
        <f>BOM!B17</f>
        <v/>
      </c>
      <c r="C11" s="46">
        <f>BOM!F17</f>
        <v/>
      </c>
      <c r="D11" s="46">
        <f>BOM!AF17</f>
        <v/>
      </c>
    </row>
    <row r="12" ht="15" customHeight="1" s="24">
      <c r="A12" s="46">
        <f>BOM!AC18</f>
        <v/>
      </c>
      <c r="B12" s="46">
        <f>BOM!B18</f>
        <v/>
      </c>
      <c r="C12" s="46">
        <f>BOM!F18</f>
        <v/>
      </c>
      <c r="D12" s="46">
        <f>BOM!AF18</f>
        <v/>
      </c>
    </row>
    <row r="13" ht="15" customHeight="1" s="24">
      <c r="A13" s="46">
        <f>BOM!AC19</f>
        <v/>
      </c>
      <c r="B13" s="46">
        <f>BOM!B19</f>
        <v/>
      </c>
      <c r="C13" s="46">
        <f>BOM!F19</f>
        <v/>
      </c>
      <c r="D13" s="46">
        <f>BOM!AF19</f>
        <v/>
      </c>
    </row>
    <row r="14" ht="15" customHeight="1" s="24">
      <c r="A14" s="46">
        <f>BOM!AC20</f>
        <v/>
      </c>
      <c r="B14" s="46">
        <f>BOM!B20</f>
        <v/>
      </c>
      <c r="C14" s="46">
        <f>BOM!F20</f>
        <v/>
      </c>
      <c r="D14" s="46">
        <f>BOM!AF20</f>
        <v/>
      </c>
    </row>
    <row r="15" ht="15" customHeight="1" s="24">
      <c r="A15" s="46">
        <f>BOM!AC21</f>
        <v/>
      </c>
      <c r="B15" s="46">
        <f>BOM!B21</f>
        <v/>
      </c>
      <c r="C15" s="46">
        <f>BOM!F21</f>
        <v/>
      </c>
      <c r="D15" s="46">
        <f>BOM!AF21</f>
        <v/>
      </c>
    </row>
    <row r="16" ht="15" customHeight="1" s="24">
      <c r="A16" s="46">
        <f>BOM!AC22</f>
        <v/>
      </c>
      <c r="B16" s="46">
        <f>BOM!B22</f>
        <v/>
      </c>
      <c r="C16" s="46">
        <f>BOM!F22</f>
        <v/>
      </c>
      <c r="D16" s="46">
        <f>BOM!AF22</f>
        <v/>
      </c>
    </row>
    <row r="17" ht="15" customHeight="1" s="24">
      <c r="A17" s="46">
        <f>BOM!AC23</f>
        <v/>
      </c>
      <c r="B17" s="46">
        <f>BOM!B23</f>
        <v/>
      </c>
      <c r="C17" s="46">
        <f>BOM!F23</f>
        <v/>
      </c>
      <c r="D17" s="46">
        <f>BOM!AF23</f>
        <v/>
      </c>
    </row>
    <row r="18" ht="15" customHeight="1" s="24">
      <c r="A18" s="46">
        <f>BOM!AC24</f>
        <v/>
      </c>
      <c r="B18" s="46">
        <f>BOM!B24</f>
        <v/>
      </c>
      <c r="C18" s="46">
        <f>BOM!F24</f>
        <v/>
      </c>
      <c r="D18" s="46">
        <f>BOM!AF24</f>
        <v/>
      </c>
    </row>
    <row r="19" ht="15" customHeight="1" s="24">
      <c r="A19" s="46">
        <f>BOM!AC25</f>
        <v/>
      </c>
      <c r="B19" s="46">
        <f>BOM!B25</f>
        <v/>
      </c>
      <c r="C19" s="46">
        <f>BOM!F25</f>
        <v/>
      </c>
      <c r="D19" s="46">
        <f>BOM!AF25</f>
        <v/>
      </c>
    </row>
    <row r="20" ht="15" customHeight="1" s="24">
      <c r="A20" s="46">
        <f>BOM!AC26</f>
        <v/>
      </c>
      <c r="B20" s="46">
        <f>BOM!B26</f>
        <v/>
      </c>
      <c r="C20" s="46">
        <f>BOM!F26</f>
        <v/>
      </c>
      <c r="D20" s="46">
        <f>BOM!AF26</f>
        <v/>
      </c>
    </row>
    <row r="21" ht="15" customHeight="1" s="24">
      <c r="A21" s="46">
        <f>BOM!AC27</f>
        <v/>
      </c>
      <c r="B21" s="46">
        <f>BOM!B27</f>
        <v/>
      </c>
      <c r="C21" s="46">
        <f>BOM!F27</f>
        <v/>
      </c>
      <c r="D21" s="46">
        <f>BOM!AF27</f>
        <v/>
      </c>
    </row>
    <row r="22" ht="15" customHeight="1" s="24">
      <c r="A22" s="46">
        <f>BOM!AC29</f>
        <v/>
      </c>
      <c r="B22" s="46">
        <f>BOM!B29</f>
        <v/>
      </c>
      <c r="C22" s="46">
        <f>BOM!F29</f>
        <v/>
      </c>
      <c r="D22" s="46">
        <f>BOM!AF29</f>
        <v/>
      </c>
    </row>
    <row r="23" ht="15" customHeight="1" s="24">
      <c r="A23" s="46">
        <f>BOM!AC30</f>
        <v/>
      </c>
      <c r="B23" s="46">
        <f>BOM!B30</f>
        <v/>
      </c>
      <c r="C23" s="46">
        <f>BOM!F30</f>
        <v/>
      </c>
      <c r="D23" s="46">
        <f>BOM!AF30</f>
        <v/>
      </c>
    </row>
    <row r="24" ht="15" customHeight="1" s="24">
      <c r="A24" s="46">
        <f>BOM!AC31</f>
        <v/>
      </c>
      <c r="B24" s="46">
        <f>BOM!B31</f>
        <v/>
      </c>
      <c r="C24" s="46">
        <f>BOM!F31</f>
        <v/>
      </c>
      <c r="D24" s="46">
        <f>BOM!AF31</f>
        <v/>
      </c>
    </row>
    <row r="25" ht="15" customHeight="1" s="24">
      <c r="A25" s="46">
        <f>BOM!AC32</f>
        <v/>
      </c>
      <c r="B25" s="46">
        <f>BOM!B32</f>
        <v/>
      </c>
      <c r="C25" s="46">
        <f>BOM!F32</f>
        <v/>
      </c>
      <c r="D25" s="46">
        <f>BOM!AF32</f>
        <v/>
      </c>
    </row>
    <row r="26" ht="15" customHeight="1" s="24">
      <c r="A26" s="46">
        <f>BOM!AC33</f>
        <v/>
      </c>
      <c r="B26" s="46">
        <f>BOM!B33</f>
        <v/>
      </c>
      <c r="C26" s="46">
        <f>BOM!F33</f>
        <v/>
      </c>
      <c r="D26" s="46">
        <f>BOM!AF33</f>
        <v/>
      </c>
    </row>
    <row r="27" ht="15" customHeight="1" s="24">
      <c r="A27" s="46">
        <f>BOM!AC34</f>
        <v/>
      </c>
      <c r="B27" s="46">
        <f>BOM!B34</f>
        <v/>
      </c>
      <c r="C27" s="46">
        <f>BOM!F34</f>
        <v/>
      </c>
      <c r="D27" s="46">
        <f>BOM!AF34</f>
        <v/>
      </c>
    </row>
    <row r="28" ht="15" customHeight="1" s="24">
      <c r="A28" s="46">
        <f>BOM!AC35</f>
        <v/>
      </c>
      <c r="B28" s="46">
        <f>BOM!B35</f>
        <v/>
      </c>
      <c r="C28" s="46">
        <f>BOM!F35</f>
        <v/>
      </c>
      <c r="D28" s="46">
        <f>BOM!AF35</f>
        <v/>
      </c>
    </row>
    <row r="29" ht="15" customHeight="1" s="24">
      <c r="A29" s="46">
        <f>BOM!AC36</f>
        <v/>
      </c>
      <c r="B29" s="46">
        <f>BOM!B36</f>
        <v/>
      </c>
      <c r="C29" s="46">
        <f>BOM!F36</f>
        <v/>
      </c>
      <c r="D29" s="46">
        <f>BOM!AF36</f>
        <v/>
      </c>
    </row>
    <row r="30" ht="15" customHeight="1" s="24">
      <c r="A30" s="46">
        <f>BOM!AC37</f>
        <v/>
      </c>
      <c r="B30" s="46">
        <f>BOM!B37</f>
        <v/>
      </c>
      <c r="C30" s="46">
        <f>BOM!F37</f>
        <v/>
      </c>
      <c r="D30" s="46">
        <f>BOM!AF37</f>
        <v/>
      </c>
    </row>
    <row r="31" ht="15" customHeight="1" s="24">
      <c r="A31" s="46">
        <f>BOM!AC38</f>
        <v/>
      </c>
      <c r="B31" s="46">
        <f>BOM!B38</f>
        <v/>
      </c>
      <c r="C31" s="46">
        <f>BOM!F38</f>
        <v/>
      </c>
      <c r="D31" s="46">
        <f>BOM!AF38</f>
        <v/>
      </c>
    </row>
    <row r="32" ht="15" customHeight="1" s="24">
      <c r="A32" s="46">
        <f>BOM!AC39</f>
        <v/>
      </c>
      <c r="B32" s="46">
        <f>BOM!B39</f>
        <v/>
      </c>
      <c r="C32" s="46">
        <f>BOM!F39</f>
        <v/>
      </c>
      <c r="D32" s="46">
        <f>BOM!AF39</f>
        <v/>
      </c>
    </row>
    <row r="33" ht="15" customHeight="1" s="24">
      <c r="A33" s="46">
        <f>BOM!AC40</f>
        <v/>
      </c>
      <c r="B33" s="46">
        <f>BOM!B40</f>
        <v/>
      </c>
      <c r="C33" s="46">
        <f>BOM!F40</f>
        <v/>
      </c>
      <c r="D33" s="46">
        <f>BOM!AF40</f>
        <v/>
      </c>
    </row>
    <row r="34" ht="15" customHeight="1" s="24">
      <c r="A34" s="46">
        <f>BOM!AC41</f>
        <v/>
      </c>
      <c r="B34" s="46">
        <f>BOM!B41</f>
        <v/>
      </c>
      <c r="C34" s="46">
        <f>BOM!F41</f>
        <v/>
      </c>
      <c r="D34" s="46">
        <f>BOM!AF41</f>
        <v/>
      </c>
    </row>
    <row r="35" ht="15" customHeight="1" s="24">
      <c r="A35" s="46">
        <f>BOM!AC42</f>
        <v/>
      </c>
      <c r="B35" s="46">
        <f>BOM!B42</f>
        <v/>
      </c>
      <c r="C35" s="46">
        <f>BOM!F42</f>
        <v/>
      </c>
      <c r="D35" s="46">
        <f>BOM!AF42</f>
        <v/>
      </c>
    </row>
    <row r="36" ht="15" customHeight="1" s="24">
      <c r="A36" s="46">
        <f>BOM!AC43</f>
        <v/>
      </c>
      <c r="B36" s="46">
        <f>BOM!B43</f>
        <v/>
      </c>
      <c r="C36" s="46">
        <f>BOM!F43</f>
        <v/>
      </c>
      <c r="D36" s="46">
        <f>BOM!AF43</f>
        <v/>
      </c>
    </row>
    <row r="37" ht="15" customHeight="1" s="24">
      <c r="A37" s="46">
        <f>BOM!AC44</f>
        <v/>
      </c>
      <c r="B37" s="46">
        <f>BOM!B44</f>
        <v/>
      </c>
      <c r="C37" s="46">
        <f>BOM!F44</f>
        <v/>
      </c>
      <c r="D37" s="46">
        <f>BOM!AF44</f>
        <v/>
      </c>
    </row>
    <row r="38" ht="15" customHeight="1" s="24">
      <c r="A38" s="46">
        <f>BOM!AC45</f>
        <v/>
      </c>
      <c r="B38" s="46">
        <f>BOM!B45</f>
        <v/>
      </c>
      <c r="C38" s="46">
        <f>BOM!F45</f>
        <v/>
      </c>
      <c r="D38" s="46">
        <f>BOM!AF45</f>
        <v/>
      </c>
    </row>
    <row r="39" ht="15" customHeight="1" s="24">
      <c r="A39" s="46">
        <f>BOM!AC46</f>
        <v/>
      </c>
      <c r="B39" s="46">
        <f>BOM!B46</f>
        <v/>
      </c>
      <c r="C39" s="46">
        <f>BOM!F46</f>
        <v/>
      </c>
      <c r="D39" s="46">
        <f>BOM!AF46</f>
        <v/>
      </c>
    </row>
    <row r="40" ht="15" customHeight="1" s="24">
      <c r="A40" s="46">
        <f>BOM!AC47</f>
        <v/>
      </c>
      <c r="B40" s="46">
        <f>BOM!B47</f>
        <v/>
      </c>
      <c r="C40" s="46">
        <f>BOM!F47</f>
        <v/>
      </c>
      <c r="D40" s="46">
        <f>BOM!AF47</f>
        <v/>
      </c>
    </row>
    <row r="41" ht="15" customHeight="1" s="24">
      <c r="A41" s="46">
        <f>BOM!AC48</f>
        <v/>
      </c>
      <c r="B41" s="46">
        <f>BOM!B48</f>
        <v/>
      </c>
      <c r="C41" s="46">
        <f>BOM!F48</f>
        <v/>
      </c>
      <c r="D41" s="46">
        <f>BOM!AF48</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4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0" customWidth="1" style="23" min="1" max="1"/>
    <col width="16" customWidth="1" style="23" min="2" max="2"/>
    <col width="28" customWidth="1" style="23" min="3" max="4"/>
    <col width="45" customWidth="1" style="23" min="5" max="5"/>
  </cols>
  <sheetData>
    <row r="1" ht="15" customHeight="1" s="24">
      <c r="A1" s="45" t="inlineStr">
        <is>
          <t>Quantity</t>
        </is>
      </c>
      <c r="B1" s="45" t="inlineStr">
        <is>
          <t>LCSC Part Number</t>
        </is>
      </c>
      <c r="C1" s="45" t="inlineStr">
        <is>
          <t>Manufacturer Part Number</t>
        </is>
      </c>
      <c r="D1" s="45" t="inlineStr">
        <is>
          <t>Manufacturer</t>
        </is>
      </c>
      <c r="E1" s="45" t="inlineStr">
        <is>
          <t>Customer Reference</t>
        </is>
      </c>
    </row>
    <row r="2" ht="15" customHeight="1" s="24">
      <c r="A2" s="46">
        <f>BOM!AB8</f>
        <v/>
      </c>
      <c r="B2" s="46">
        <f>BOM!AF8</f>
        <v/>
      </c>
      <c r="C2" s="46">
        <f>BOM!AE8</f>
        <v/>
      </c>
      <c r="D2" s="46">
        <f>BOM!AD8</f>
        <v/>
      </c>
      <c r="E2" s="46">
        <f>BOM!B8</f>
        <v/>
      </c>
    </row>
    <row r="3" ht="15" customHeight="1" s="24">
      <c r="A3" s="46">
        <f>BOM!AB9</f>
        <v/>
      </c>
      <c r="B3" s="46">
        <f>BOM!AF9</f>
        <v/>
      </c>
      <c r="C3" s="46">
        <f>BOM!AE9</f>
        <v/>
      </c>
      <c r="D3" s="46">
        <f>BOM!AD9</f>
        <v/>
      </c>
      <c r="E3" s="46">
        <f>BOM!B9</f>
        <v/>
      </c>
    </row>
    <row r="4" ht="15" customHeight="1" s="24">
      <c r="A4" s="46">
        <f>BOM!AB10</f>
        <v/>
      </c>
      <c r="B4" s="46">
        <f>BOM!AF10</f>
        <v/>
      </c>
      <c r="C4" s="46">
        <f>BOM!AE10</f>
        <v/>
      </c>
      <c r="D4" s="46">
        <f>BOM!AD10</f>
        <v/>
      </c>
      <c r="E4" s="46">
        <f>BOM!B10</f>
        <v/>
      </c>
    </row>
    <row r="5" ht="15" customHeight="1" s="24">
      <c r="A5" s="46">
        <f>BOM!AB11</f>
        <v/>
      </c>
      <c r="B5" s="46">
        <f>BOM!AF11</f>
        <v/>
      </c>
      <c r="C5" s="46">
        <f>BOM!AE11</f>
        <v/>
      </c>
      <c r="D5" s="46">
        <f>BOM!AD11</f>
        <v/>
      </c>
      <c r="E5" s="46">
        <f>BOM!B11</f>
        <v/>
      </c>
    </row>
    <row r="6" ht="15" customHeight="1" s="24">
      <c r="A6" s="46">
        <f>BOM!AB12</f>
        <v/>
      </c>
      <c r="B6" s="46">
        <f>BOM!AF12</f>
        <v/>
      </c>
      <c r="C6" s="46">
        <f>BOM!AE12</f>
        <v/>
      </c>
      <c r="D6" s="46">
        <f>BOM!AD12</f>
        <v/>
      </c>
      <c r="E6" s="46">
        <f>BOM!B12</f>
        <v/>
      </c>
    </row>
    <row r="7" ht="15" customHeight="1" s="24">
      <c r="A7" s="46">
        <f>BOM!AB13</f>
        <v/>
      </c>
      <c r="B7" s="46">
        <f>BOM!AF13</f>
        <v/>
      </c>
      <c r="C7" s="46">
        <f>BOM!AE13</f>
        <v/>
      </c>
      <c r="D7" s="46">
        <f>BOM!AD13</f>
        <v/>
      </c>
      <c r="E7" s="46">
        <f>BOM!B13</f>
        <v/>
      </c>
    </row>
    <row r="8" ht="15" customHeight="1" s="24">
      <c r="A8" s="46">
        <f>BOM!AB14</f>
        <v/>
      </c>
      <c r="B8" s="46">
        <f>BOM!AF14</f>
        <v/>
      </c>
      <c r="C8" s="46">
        <f>BOM!AE14</f>
        <v/>
      </c>
      <c r="D8" s="46">
        <f>BOM!AD14</f>
        <v/>
      </c>
      <c r="E8" s="46">
        <f>BOM!B14</f>
        <v/>
      </c>
    </row>
    <row r="9" ht="15" customHeight="1" s="24">
      <c r="A9" s="46">
        <f>BOM!AB15</f>
        <v/>
      </c>
      <c r="B9" s="46">
        <f>BOM!AF15</f>
        <v/>
      </c>
      <c r="C9" s="46">
        <f>BOM!AE15</f>
        <v/>
      </c>
      <c r="D9" s="46">
        <f>BOM!AD15</f>
        <v/>
      </c>
      <c r="E9" s="46">
        <f>BOM!B15</f>
        <v/>
      </c>
    </row>
    <row r="10" ht="15" customHeight="1" s="24">
      <c r="A10" s="46">
        <f>BOM!AB16</f>
        <v/>
      </c>
      <c r="B10" s="46">
        <f>BOM!AF16</f>
        <v/>
      </c>
      <c r="C10" s="46">
        <f>BOM!AE16</f>
        <v/>
      </c>
      <c r="D10" s="46">
        <f>BOM!AD16</f>
        <v/>
      </c>
      <c r="E10" s="46">
        <f>BOM!B16</f>
        <v/>
      </c>
    </row>
    <row r="11" ht="15" customHeight="1" s="24">
      <c r="A11" s="46">
        <f>BOM!AB17</f>
        <v/>
      </c>
      <c r="B11" s="46">
        <f>BOM!AF17</f>
        <v/>
      </c>
      <c r="C11" s="46">
        <f>BOM!AE17</f>
        <v/>
      </c>
      <c r="D11" s="46">
        <f>BOM!AD17</f>
        <v/>
      </c>
      <c r="E11" s="46">
        <f>BOM!B17</f>
        <v/>
      </c>
    </row>
    <row r="12" ht="15" customHeight="1" s="24">
      <c r="A12" s="46">
        <f>BOM!AB18</f>
        <v/>
      </c>
      <c r="B12" s="46">
        <f>BOM!AF18</f>
        <v/>
      </c>
      <c r="C12" s="46">
        <f>BOM!AE18</f>
        <v/>
      </c>
      <c r="D12" s="46">
        <f>BOM!AD18</f>
        <v/>
      </c>
      <c r="E12" s="46">
        <f>BOM!B18</f>
        <v/>
      </c>
    </row>
    <row r="13" ht="15" customHeight="1" s="24">
      <c r="A13" s="46">
        <f>BOM!AB19</f>
        <v/>
      </c>
      <c r="B13" s="46">
        <f>BOM!AF19</f>
        <v/>
      </c>
      <c r="C13" s="46">
        <f>BOM!AE19</f>
        <v/>
      </c>
      <c r="D13" s="46">
        <f>BOM!AD19</f>
        <v/>
      </c>
      <c r="E13" s="46">
        <f>BOM!B19</f>
        <v/>
      </c>
    </row>
    <row r="14" ht="15" customHeight="1" s="24">
      <c r="A14" s="46">
        <f>BOM!AB20</f>
        <v/>
      </c>
      <c r="B14" s="46">
        <f>BOM!AF20</f>
        <v/>
      </c>
      <c r="C14" s="46">
        <f>BOM!AE20</f>
        <v/>
      </c>
      <c r="D14" s="46">
        <f>BOM!AD20</f>
        <v/>
      </c>
      <c r="E14" s="46">
        <f>BOM!B20</f>
        <v/>
      </c>
    </row>
    <row r="15" ht="15" customHeight="1" s="24">
      <c r="A15" s="46">
        <f>BOM!AB21</f>
        <v/>
      </c>
      <c r="B15" s="46">
        <f>BOM!AF21</f>
        <v/>
      </c>
      <c r="C15" s="46">
        <f>BOM!AE21</f>
        <v/>
      </c>
      <c r="D15" s="46">
        <f>BOM!AD21</f>
        <v/>
      </c>
      <c r="E15" s="46">
        <f>BOM!B21</f>
        <v/>
      </c>
    </row>
    <row r="16" ht="15" customHeight="1" s="24">
      <c r="A16" s="46">
        <f>BOM!AB22</f>
        <v/>
      </c>
      <c r="B16" s="46">
        <f>BOM!AF22</f>
        <v/>
      </c>
      <c r="C16" s="46">
        <f>BOM!AE22</f>
        <v/>
      </c>
      <c r="D16" s="46">
        <f>BOM!AD22</f>
        <v/>
      </c>
      <c r="E16" s="46">
        <f>BOM!B22</f>
        <v/>
      </c>
    </row>
    <row r="17" ht="15" customHeight="1" s="24">
      <c r="A17" s="46">
        <f>BOM!AB23</f>
        <v/>
      </c>
      <c r="B17" s="46">
        <f>BOM!AF23</f>
        <v/>
      </c>
      <c r="C17" s="46">
        <f>BOM!AE23</f>
        <v/>
      </c>
      <c r="D17" s="46">
        <f>BOM!AD23</f>
        <v/>
      </c>
      <c r="E17" s="46">
        <f>BOM!B23</f>
        <v/>
      </c>
    </row>
    <row r="18" ht="15" customHeight="1" s="24">
      <c r="A18" s="46">
        <f>BOM!AB24</f>
        <v/>
      </c>
      <c r="B18" s="46">
        <f>BOM!AF24</f>
        <v/>
      </c>
      <c r="C18" s="46">
        <f>BOM!AE24</f>
        <v/>
      </c>
      <c r="D18" s="46">
        <f>BOM!AD24</f>
        <v/>
      </c>
      <c r="E18" s="46">
        <f>BOM!B24</f>
        <v/>
      </c>
    </row>
    <row r="19" ht="15" customHeight="1" s="24">
      <c r="A19" s="46">
        <f>BOM!AB25</f>
        <v/>
      </c>
      <c r="B19" s="46">
        <f>BOM!AF25</f>
        <v/>
      </c>
      <c r="C19" s="46">
        <f>BOM!AE25</f>
        <v/>
      </c>
      <c r="D19" s="46">
        <f>BOM!AD25</f>
        <v/>
      </c>
      <c r="E19" s="46">
        <f>BOM!B25</f>
        <v/>
      </c>
    </row>
    <row r="20" ht="15" customHeight="1" s="24">
      <c r="A20" s="46">
        <f>BOM!AB26</f>
        <v/>
      </c>
      <c r="B20" s="46">
        <f>BOM!AF26</f>
        <v/>
      </c>
      <c r="C20" s="46">
        <f>BOM!AE26</f>
        <v/>
      </c>
      <c r="D20" s="46">
        <f>BOM!AD26</f>
        <v/>
      </c>
      <c r="E20" s="46">
        <f>BOM!B26</f>
        <v/>
      </c>
    </row>
    <row r="21" ht="15" customHeight="1" s="24">
      <c r="A21" s="46">
        <f>BOM!AB27</f>
        <v/>
      </c>
      <c r="B21" s="46">
        <f>BOM!AF27</f>
        <v/>
      </c>
      <c r="C21" s="46">
        <f>BOM!AE27</f>
        <v/>
      </c>
      <c r="D21" s="46">
        <f>BOM!AD27</f>
        <v/>
      </c>
      <c r="E21" s="46">
        <f>BOM!B27</f>
        <v/>
      </c>
    </row>
    <row r="22" ht="15" customHeight="1" s="24">
      <c r="A22" s="46">
        <f>BOM!AB29</f>
        <v/>
      </c>
      <c r="B22" s="46">
        <f>BOM!AF29</f>
        <v/>
      </c>
      <c r="C22" s="46">
        <f>BOM!AE29</f>
        <v/>
      </c>
      <c r="D22" s="46">
        <f>BOM!AD29</f>
        <v/>
      </c>
      <c r="E22" s="46">
        <f>BOM!B29</f>
        <v/>
      </c>
    </row>
    <row r="23" ht="15" customHeight="1" s="24">
      <c r="A23" s="46">
        <f>BOM!AB30</f>
        <v/>
      </c>
      <c r="B23" s="46">
        <f>BOM!AF30</f>
        <v/>
      </c>
      <c r="C23" s="46">
        <f>BOM!AE30</f>
        <v/>
      </c>
      <c r="D23" s="46">
        <f>BOM!AD30</f>
        <v/>
      </c>
      <c r="E23" s="46">
        <f>BOM!B30</f>
        <v/>
      </c>
    </row>
    <row r="24" ht="15" customHeight="1" s="24">
      <c r="A24" s="46">
        <f>BOM!AB31</f>
        <v/>
      </c>
      <c r="B24" s="46">
        <f>BOM!AF31</f>
        <v/>
      </c>
      <c r="C24" s="46">
        <f>BOM!AE31</f>
        <v/>
      </c>
      <c r="D24" s="46">
        <f>BOM!AD31</f>
        <v/>
      </c>
      <c r="E24" s="46">
        <f>BOM!B31</f>
        <v/>
      </c>
    </row>
    <row r="25" ht="15" customHeight="1" s="24">
      <c r="A25" s="46">
        <f>BOM!AB32</f>
        <v/>
      </c>
      <c r="B25" s="46">
        <f>BOM!AF32</f>
        <v/>
      </c>
      <c r="C25" s="46">
        <f>BOM!AE32</f>
        <v/>
      </c>
      <c r="D25" s="46">
        <f>BOM!AD32</f>
        <v/>
      </c>
      <c r="E25" s="46">
        <f>BOM!B32</f>
        <v/>
      </c>
    </row>
    <row r="26" ht="15" customHeight="1" s="24">
      <c r="A26" s="46">
        <f>BOM!AB33</f>
        <v/>
      </c>
      <c r="B26" s="46">
        <f>BOM!AF33</f>
        <v/>
      </c>
      <c r="C26" s="46">
        <f>BOM!AE33</f>
        <v/>
      </c>
      <c r="D26" s="46">
        <f>BOM!AD33</f>
        <v/>
      </c>
      <c r="E26" s="46">
        <f>BOM!B33</f>
        <v/>
      </c>
    </row>
    <row r="27" ht="15" customHeight="1" s="24">
      <c r="A27" s="46">
        <f>BOM!AB34</f>
        <v/>
      </c>
      <c r="B27" s="46">
        <f>BOM!AF34</f>
        <v/>
      </c>
      <c r="C27" s="46">
        <f>BOM!AE34</f>
        <v/>
      </c>
      <c r="D27" s="46">
        <f>BOM!AD34</f>
        <v/>
      </c>
      <c r="E27" s="46">
        <f>BOM!B34</f>
        <v/>
      </c>
    </row>
    <row r="28" ht="15" customHeight="1" s="24">
      <c r="A28" s="46">
        <f>BOM!AB35</f>
        <v/>
      </c>
      <c r="B28" s="46">
        <f>BOM!AF35</f>
        <v/>
      </c>
      <c r="C28" s="46">
        <f>BOM!AE35</f>
        <v/>
      </c>
      <c r="D28" s="46">
        <f>BOM!AD35</f>
        <v/>
      </c>
      <c r="E28" s="46">
        <f>BOM!B35</f>
        <v/>
      </c>
    </row>
    <row r="29" ht="15" customHeight="1" s="24">
      <c r="A29" s="46">
        <f>BOM!AB36</f>
        <v/>
      </c>
      <c r="B29" s="46">
        <f>BOM!AF36</f>
        <v/>
      </c>
      <c r="C29" s="46">
        <f>BOM!AE36</f>
        <v/>
      </c>
      <c r="D29" s="46">
        <f>BOM!AD36</f>
        <v/>
      </c>
      <c r="E29" s="46">
        <f>BOM!B36</f>
        <v/>
      </c>
    </row>
    <row r="30" ht="15" customHeight="1" s="24">
      <c r="A30" s="46">
        <f>BOM!AB37</f>
        <v/>
      </c>
      <c r="B30" s="46">
        <f>BOM!AF37</f>
        <v/>
      </c>
      <c r="C30" s="46">
        <f>BOM!AE37</f>
        <v/>
      </c>
      <c r="D30" s="46">
        <f>BOM!AD37</f>
        <v/>
      </c>
      <c r="E30" s="46">
        <f>BOM!B37</f>
        <v/>
      </c>
    </row>
    <row r="31" ht="15" customHeight="1" s="24">
      <c r="A31" s="46">
        <f>BOM!AB38</f>
        <v/>
      </c>
      <c r="B31" s="46">
        <f>BOM!AF38</f>
        <v/>
      </c>
      <c r="C31" s="46">
        <f>BOM!AE38</f>
        <v/>
      </c>
      <c r="D31" s="46">
        <f>BOM!AD38</f>
        <v/>
      </c>
      <c r="E31" s="46">
        <f>BOM!B38</f>
        <v/>
      </c>
    </row>
    <row r="32" ht="15" customHeight="1" s="24">
      <c r="A32" s="46">
        <f>BOM!AB39</f>
        <v/>
      </c>
      <c r="B32" s="46">
        <f>BOM!AF39</f>
        <v/>
      </c>
      <c r="C32" s="46">
        <f>BOM!AE39</f>
        <v/>
      </c>
      <c r="D32" s="46">
        <f>BOM!AD39</f>
        <v/>
      </c>
      <c r="E32" s="46">
        <f>BOM!B39</f>
        <v/>
      </c>
    </row>
    <row r="33" ht="15" customHeight="1" s="24">
      <c r="A33" s="46">
        <f>BOM!AB40</f>
        <v/>
      </c>
      <c r="B33" s="46">
        <f>BOM!AF40</f>
        <v/>
      </c>
      <c r="C33" s="46">
        <f>BOM!AE40</f>
        <v/>
      </c>
      <c r="D33" s="46">
        <f>BOM!AD40</f>
        <v/>
      </c>
      <c r="E33" s="46">
        <f>BOM!B40</f>
        <v/>
      </c>
    </row>
    <row r="34" ht="15" customHeight="1" s="24">
      <c r="A34" s="46">
        <f>BOM!AB41</f>
        <v/>
      </c>
      <c r="B34" s="46">
        <f>BOM!AF41</f>
        <v/>
      </c>
      <c r="C34" s="46">
        <f>BOM!AE41</f>
        <v/>
      </c>
      <c r="D34" s="46">
        <f>BOM!AD41</f>
        <v/>
      </c>
      <c r="E34" s="46">
        <f>BOM!B41</f>
        <v/>
      </c>
    </row>
    <row r="35" ht="15" customHeight="1" s="24">
      <c r="A35" s="46">
        <f>BOM!AB42</f>
        <v/>
      </c>
      <c r="B35" s="46">
        <f>BOM!AF42</f>
        <v/>
      </c>
      <c r="C35" s="46">
        <f>BOM!AE42</f>
        <v/>
      </c>
      <c r="D35" s="46">
        <f>BOM!AD42</f>
        <v/>
      </c>
      <c r="E35" s="46">
        <f>BOM!B42</f>
        <v/>
      </c>
    </row>
    <row r="36" ht="15" customHeight="1" s="24">
      <c r="A36" s="46">
        <f>BOM!AB43</f>
        <v/>
      </c>
      <c r="B36" s="46">
        <f>BOM!AF43</f>
        <v/>
      </c>
      <c r="C36" s="46">
        <f>BOM!AE43</f>
        <v/>
      </c>
      <c r="D36" s="46">
        <f>BOM!AD43</f>
        <v/>
      </c>
      <c r="E36" s="46">
        <f>BOM!B43</f>
        <v/>
      </c>
    </row>
    <row r="37" ht="15" customHeight="1" s="24">
      <c r="A37" s="46">
        <f>BOM!AB44</f>
        <v/>
      </c>
      <c r="B37" s="46">
        <f>BOM!AF44</f>
        <v/>
      </c>
      <c r="C37" s="46">
        <f>BOM!AE44</f>
        <v/>
      </c>
      <c r="D37" s="46">
        <f>BOM!AD44</f>
        <v/>
      </c>
      <c r="E37" s="46">
        <f>BOM!B44</f>
        <v/>
      </c>
    </row>
    <row r="38" ht="15" customHeight="1" s="24">
      <c r="A38" s="46">
        <f>BOM!AB45</f>
        <v/>
      </c>
      <c r="B38" s="46">
        <f>BOM!AF45</f>
        <v/>
      </c>
      <c r="C38" s="46">
        <f>BOM!AE45</f>
        <v/>
      </c>
      <c r="D38" s="46">
        <f>BOM!AD45</f>
        <v/>
      </c>
      <c r="E38" s="46">
        <f>BOM!B45</f>
        <v/>
      </c>
    </row>
    <row r="39" ht="15" customHeight="1" s="24">
      <c r="A39" s="46">
        <f>BOM!AB46</f>
        <v/>
      </c>
      <c r="B39" s="46">
        <f>BOM!AF46</f>
        <v/>
      </c>
      <c r="C39" s="46">
        <f>BOM!AE46</f>
        <v/>
      </c>
      <c r="D39" s="46">
        <f>BOM!AD46</f>
        <v/>
      </c>
      <c r="E39" s="46">
        <f>BOM!B46</f>
        <v/>
      </c>
    </row>
    <row r="40" ht="15" customHeight="1" s="24">
      <c r="A40" s="46">
        <f>BOM!AB47</f>
        <v/>
      </c>
      <c r="B40" s="46">
        <f>BOM!AF47</f>
        <v/>
      </c>
      <c r="C40" s="46">
        <f>BOM!AE47</f>
        <v/>
      </c>
      <c r="D40" s="46">
        <f>BOM!AD47</f>
        <v/>
      </c>
      <c r="E40" s="46">
        <f>BOM!B47</f>
        <v/>
      </c>
    </row>
    <row r="41" ht="15" customHeight="1" s="24">
      <c r="A41" s="46">
        <f>BOM!AB48</f>
        <v/>
      </c>
      <c r="B41" s="46">
        <f>BOM!AF48</f>
        <v/>
      </c>
      <c r="C41" s="46">
        <f>BOM!AE48</f>
        <v/>
      </c>
      <c r="D41" s="46">
        <f>BOM!AD48</f>
        <v/>
      </c>
      <c r="E41" s="46">
        <f>BOM!B48</f>
        <v/>
      </c>
    </row>
    <row r="42" ht="15" customHeight="1" s="24">
      <c r="A42" s="46">
        <f>BOM!AB50</f>
        <v/>
      </c>
      <c r="B42" s="46">
        <f>BOM!AF50</f>
        <v/>
      </c>
      <c r="C42" s="46">
        <f>BOM!AE50</f>
        <v/>
      </c>
      <c r="D42" s="46">
        <f>BOM!AD50</f>
        <v/>
      </c>
      <c r="E42" s="46">
        <f>BOM!B50</f>
        <v/>
      </c>
    </row>
    <row r="43" ht="15" customHeight="1" s="24">
      <c r="A43" s="46">
        <f>BOM!AB51</f>
        <v/>
      </c>
      <c r="B43" s="46">
        <f>BOM!AF51</f>
        <v/>
      </c>
      <c r="C43" s="46">
        <f>BOM!AE51</f>
        <v/>
      </c>
      <c r="D43" s="46">
        <f>BOM!AD51</f>
        <v/>
      </c>
      <c r="E43" s="46">
        <f>BOM!B51</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2026-09-25T20:03:31Z</dcterms:created>
  <dcterms:modified xmlns:dcterms="http://purl.org/dc/terms/" xmlns:xsi="http://www.w3.org/2001/XMLSchema-instance" xsi:type="dcterms:W3CDTF">2026-10-07T16:28:41+00:00Z</dcterms:modified>
  <cp:revision>0</cp:revision>
</cp:coreProperties>
</file>