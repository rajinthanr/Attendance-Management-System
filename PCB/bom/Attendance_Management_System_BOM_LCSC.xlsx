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_me" sheetId="1" state="visible" r:id="rId3"/>
    <sheet name="BOM" sheetId="2" state="visible" r:id="rId4"/>
    <sheet name="JLCPCB_BOM" sheetId="3" state="visible" r:id="rId5"/>
    <sheet name="LCSC_Order" sheetId="4" state="visible" r:id="rId6"/>
  </sheets>
  <definedNames>
    <definedName function="false" hidden="true" localSheetId="1" name="_xlnm._FilterDatabase" vbProcedure="false">BOM!$A$7:$AK$51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<sst xmlns="http://schemas.openxmlformats.org/spreadsheetml/2006/main" count="540" uniqueCount="357">
  <si>
    <t xml:space="preserve">Two ways to use this BOM</t>
  </si>
  <si>
    <t xml:space="preserve">Every orderable symbol in the schematic now carries a hidden LCSC field with the number used here, so the Fabrication Toolkit fills the LCSC column of production/bom.csv itself once the board is updated from the schematic.</t>
  </si>
  <si>
    <t xml:space="preserve">JLCPCB assembly: upload jlcpcb_bom.csv (next to this workbook, same as the JLCPCB_BOM sheet) with production/positions.csv from the Fabrication Toolkit. U1 is out of stock there, so mark it "do not place" and solder it yourself, or send one to JLCPCB as a consigned part. J2, J3, J4, J7 and TH1 are through-hole: add JLCPCB's through-hole assembly or solder them by hand. Check part rotations in JLCPCB's placement preview before you pay.</t>
  </si>
  <si>
    <t xml:space="preserve">Buying parts from LCSC to build by hand: set "Boards to build" (B4) on the BOM sheet, review the yellow cells, then copy the LCSC_Order sheet into LCSC's BOM tool (lcsc.com &gt; BOM Tool) or add the parts to the cart. Delete rows whose Quantity is 0 (the optional battery-cable parts are off by default). LCSC sells most passives in minimum lots of 10 to 100, so the order quantities are rounded up to those.</t>
  </si>
  <si>
    <t xml:space="preserve">Red stock figures on the BOM sheet mean the chosen part has less stock than you need.</t>
  </si>
  <si>
    <t xml:space="preserve">JLCPCB library types</t>
  </si>
  <si>
    <t xml:space="preserve">Basic parts are already loaded on JLCPCB's machines. Extended parts each carry a one-off loading fee per part type per order; Preferred extended parts have that fee waived on Economic assembly. The BOM sheet counts the Extended types you are ordering. Passives use Basic parts wherever one exists in the right value and 0805 size; the small C0G values, 4.7 MΩ and 2.7 MΩ are not in the Basic library.</t>
  </si>
  <si>
    <t xml:space="preserve">Decisions before ordering</t>
  </si>
  <si>
    <t xml:space="preserve">U1, STM32L432KCU6: out of stock at LCSC and JLCPCB. Digi-Key had 1,307 (497-STM32L432KCU6TRCT-ND) on the same day. The 128 kB STM32L432KBU6, which LCSC does stock, is not a substitute: the firmware stores the attendance log in the upper 128 kB of flash.</t>
  </si>
  <si>
    <t xml:space="preserve">Y2 + C6/C7: no 4 pF-load 3.2x1.5 mm crystal is stocked, so Y2 is a 6 pF Epson FC-135 and C6/C7 were changed to 8.2 pF in the schematic (2026-09-26).</t>
  </si>
  <si>
    <t xml:space="preserve">R6: 1 kΩ sets a 1 A charge current, above the 500 mA a USB-C sink with 5.1 kΩ CC resistors may draw. The 2 kΩ alternate gives 500 mA.</t>
  </si>
  <si>
    <t xml:space="preserve">U5: ST25R3916-AQWT is in stock at LCSC (about 100) although Digi-Key has none. Order early if you need more than a few boards.</t>
  </si>
  <si>
    <t xml:space="preserve">Substitutions against the schematic or the Digi-Key BOM (all checked on lcsc.com / jlcpcb.com)</t>
  </si>
  <si>
    <t xml:space="preserve">SW1-SW3: PTS636 SK25 (250 gf) because the SM25 (180 gf) is out of stock; same footprint. U2: MCP73833T-AMI/UN, the tape-and-reel version. L3/L4: Murata LQW2BASR47J00L, same rating as the Coilcraft 0805CS-471. Y1: YXC 27.12 MHz, 10 pF, instead of the Abracon ABM8 (1 in stock). D2/D3/D6: Lite-On LTST-C170KGKT, not the Basic green LED (its 2.6-3.1 V forward voltage is too high for D6 on 3.3 V). J1: LCSC shows 0 but JLCPCB assembly holds 710; for hand assembly buy it from Digi-Key.</t>
  </si>
  <si>
    <t xml:space="preserve">Not included</t>
  </si>
  <si>
    <t xml:space="preserve">The PCB, the Li-ion cell (with a JST XA plug), the vibration motor, the optional PN532 breakout module, solder paste and a JST XA crimp tool. J5/J6 (solder pads) and AE3 (etched antenna) are PCB features, not parts.</t>
  </si>
  <si>
    <t xml:space="preserve">Checked 2026-09-26. Each row has an LCSC link (last column) for re-checking stock and price.</t>
  </si>
  <si>
    <t xml:space="preserve">Card Attendance System: Bill of Materials (LCSC / JLCPCB)</t>
  </si>
  <si>
    <t xml:space="preserve">Source: PCB/Attendance Management System.kicad_sch. Part numbers, stock, minimum order quantities, prices and JLCPCB library types read from lcsc.com and jlcpcb.com on 2026-09-26; they change daily, so re-check before ordering.</t>
  </si>
  <si>
    <t xml:space="preserve">Boards to build</t>
  </si>
  <si>
    <t xml:space="preserve">Edit only the yellow cells: Boards to build, Use alternate (Y/N), Include (Y/N), Spares. Needed qty, LCSC order qty (rounded up to the LCSC minimum lot), the part to order and the cost are formulas.</t>
  </si>
  <si>
    <t xml:space="preserve">Item</t>
  </si>
  <si>
    <t xml:space="preserve">Designators</t>
  </si>
  <si>
    <t xml:space="preserve">Qty / board</t>
  </si>
  <si>
    <t xml:space="preserve">Value</t>
  </si>
  <si>
    <t xml:space="preserve">Description</t>
  </si>
  <si>
    <t xml:space="preserve">Footprint</t>
  </si>
  <si>
    <t xml:space="preserve">Manufacturer</t>
  </si>
  <si>
    <t xml:space="preserve">MPN</t>
  </si>
  <si>
    <t xml:space="preserve">LCSC #</t>
  </si>
  <si>
    <t xml:space="preserve">JLCPCB library</t>
  </si>
  <si>
    <t xml:space="preserve">LCSC stock (2026-09-26)</t>
  </si>
  <si>
    <t xml:space="preserve">JLCPCB stock</t>
  </si>
  <si>
    <t xml:space="preserve">LCSC min / multiple</t>
  </si>
  <si>
    <t xml:space="preserve">Unit price at min (USD)</t>
  </si>
  <si>
    <t xml:space="preserve">Use alternate (Y/N)</t>
  </si>
  <si>
    <t xml:space="preserve">Alt. value</t>
  </si>
  <si>
    <t xml:space="preserve">Alt. manufacturer</t>
  </si>
  <si>
    <t xml:space="preserve">Alt. MPN</t>
  </si>
  <si>
    <t xml:space="preserve">Alt. LCSC #</t>
  </si>
  <si>
    <t xml:space="preserve">Alt. JLCPCB library</t>
  </si>
  <si>
    <t xml:space="preserve">Alt. LCSC stock</t>
  </si>
  <si>
    <t xml:space="preserve">Alt. JLCPCB stock</t>
  </si>
  <si>
    <t xml:space="preserve">Alt. min / multiple</t>
  </si>
  <si>
    <t xml:space="preserve">Alt. unit price (USD)</t>
  </si>
  <si>
    <t xml:space="preserve">Include (Y/N)</t>
  </si>
  <si>
    <t xml:space="preserve">Spares</t>
  </si>
  <si>
    <t xml:space="preserve">Needed qty</t>
  </si>
  <si>
    <t xml:space="preserve">LCSC order qty</t>
  </si>
  <si>
    <t xml:space="preserve">Order: value</t>
  </si>
  <si>
    <t xml:space="preserve">Order: manufacturer</t>
  </si>
  <si>
    <t xml:space="preserve">Order: MPN</t>
  </si>
  <si>
    <t xml:space="preserve">Order: LCSC #</t>
  </si>
  <si>
    <t xml:space="preserve">Order: JLCPCB library</t>
  </si>
  <si>
    <t xml:space="preserve">Boards the JLCPCB stock covers</t>
  </si>
  <si>
    <t xml:space="preserve">Est. cost (USD)</t>
  </si>
  <si>
    <t xml:space="preserve">Notes</t>
  </si>
  <si>
    <t xml:space="preserve">LCSC link</t>
  </si>
  <si>
    <t xml:space="preserve">C1,C3,C8,C11,C22,C23,C24,C25,C28,C29,C30,C34</t>
  </si>
  <si>
    <t xml:space="preserve">100n</t>
  </si>
  <si>
    <t xml:space="preserve">Capacitor, 100 nF 50 V X7R ±10%</t>
  </si>
  <si>
    <t xml:space="preserve">0805</t>
  </si>
  <si>
    <t xml:space="preserve">YAGEO</t>
  </si>
  <si>
    <t xml:space="preserve">CC0805KRX7R9BB104</t>
  </si>
  <si>
    <t xml:space="preserve">C49678</t>
  </si>
  <si>
    <t xml:space="preserve">Basic</t>
  </si>
  <si>
    <t xml:space="preserve">N</t>
  </si>
  <si>
    <t xml:space="preserve">Y</t>
  </si>
  <si>
    <t xml:space="preserve">Schematic asks X7R 16 V; the 50 V Basic part has less DC-bias loss.</t>
  </si>
  <si>
    <t xml:space="preserve">C2,C35</t>
  </si>
  <si>
    <t xml:space="preserve">4.7u</t>
  </si>
  <si>
    <t xml:space="preserve">Capacitor, 4.7 µF 25 V X5R ±10%</t>
  </si>
  <si>
    <t xml:space="preserve">Samsung Electro-Mechanics</t>
  </si>
  <si>
    <t xml:space="preserve">CL21A475KAQNNNE</t>
  </si>
  <si>
    <t xml:space="preserve">C1779</t>
  </si>
  <si>
    <t xml:space="preserve">One 25 V part covers C2 (10 V) and C35 (16 V).</t>
  </si>
  <si>
    <t xml:space="preserve">C4</t>
  </si>
  <si>
    <t xml:space="preserve">10n</t>
  </si>
  <si>
    <t xml:space="preserve">Capacitor, 10 nF 50 V X7R ±10%</t>
  </si>
  <si>
    <t xml:space="preserve">CL21B103KBANNNC</t>
  </si>
  <si>
    <t xml:space="preserve">C1710</t>
  </si>
  <si>
    <t xml:space="preserve">C5,C33</t>
  </si>
  <si>
    <t xml:space="preserve">1u</t>
  </si>
  <si>
    <t xml:space="preserve">Capacitor, 1 µF 50 V X7R ±10%</t>
  </si>
  <si>
    <t xml:space="preserve">CL21B105KBFNNNE</t>
  </si>
  <si>
    <t xml:space="preserve">C28323</t>
  </si>
  <si>
    <t xml:space="preserve">C6,C7</t>
  </si>
  <si>
    <t xml:space="preserve">8.2p</t>
  </si>
  <si>
    <t xml:space="preserve">Capacitor, 8.2 pF 50 V C0G ±0.25 pF (32.768 kHz load caps)</t>
  </si>
  <si>
    <t xml:space="preserve">FH</t>
  </si>
  <si>
    <t xml:space="preserve">0805CG8R2C500NT</t>
  </si>
  <si>
    <t xml:space="preserve">C1840</t>
  </si>
  <si>
    <t xml:space="preserve">Extended</t>
  </si>
  <si>
    <t xml:space="preserve">Y2 has CL = 6 pF, so C6/C7 need about 2 x (6 - 2 pF stray) = 8 pF. Changed from 4.3p in the schematic on 2026-09-26.</t>
  </si>
  <si>
    <t xml:space="preserve">C9,C10</t>
  </si>
  <si>
    <t xml:space="preserve">15p</t>
  </si>
  <si>
    <t xml:space="preserve">Capacitor, 15 pF 50 V C0G ±5% (27.12 MHz load caps)</t>
  </si>
  <si>
    <t xml:space="preserve">CC0805JRNPO9BN150</t>
  </si>
  <si>
    <t xml:space="preserve">C107110</t>
  </si>
  <si>
    <t xml:space="preserve">Preferred ext.</t>
  </si>
  <si>
    <t xml:space="preserve">C12,C13,C38,C39</t>
  </si>
  <si>
    <t xml:space="preserve">150p</t>
  </si>
  <si>
    <t xml:space="preserve">Capacitor, 150 pF 50 V C0G ±5%</t>
  </si>
  <si>
    <t xml:space="preserve">CC0805JRNPO9BN151</t>
  </si>
  <si>
    <t xml:space="preserve">C107111</t>
  </si>
  <si>
    <t xml:space="preserve">EMC filter (C12/C13) and RX divider (C38/C39).</t>
  </si>
  <si>
    <t xml:space="preserve">C15,C37</t>
  </si>
  <si>
    <t xml:space="preserve">10p</t>
  </si>
  <si>
    <t xml:space="preserve">Capacitor, 10 pF 50 V C0G ±5% (RX divider)</t>
  </si>
  <si>
    <t xml:space="preserve">CC0805JRNPO9BN100</t>
  </si>
  <si>
    <t xml:space="preserve">C107107</t>
  </si>
  <si>
    <t xml:space="preserve">C16,C17</t>
  </si>
  <si>
    <t xml:space="preserve">68p</t>
  </si>
  <si>
    <t xml:space="preserve">Capacitor, 68 pF 50 V C0G ±5% (series matching)</t>
  </si>
  <si>
    <t xml:space="preserve">CC0805JRNPO9BN680</t>
  </si>
  <si>
    <t xml:space="preserve">C107120</t>
  </si>
  <si>
    <t xml:space="preserve">Matching values change when the antenna is tuned; the LCSC minimum lot leaves spares for a retune.</t>
  </si>
  <si>
    <t xml:space="preserve">C18,C19</t>
  </si>
  <si>
    <t xml:space="preserve">270p</t>
  </si>
  <si>
    <t xml:space="preserve">Capacitor, 270 pF 100 V C0G ±5% (parallel matching)</t>
  </si>
  <si>
    <t xml:space="preserve">CC0805JRNPO0BN271</t>
  </si>
  <si>
    <t xml:space="preserve">C107106</t>
  </si>
  <si>
    <t xml:space="preserve">As above.</t>
  </si>
  <si>
    <t xml:space="preserve">C20,C21,C36</t>
  </si>
  <si>
    <t xml:space="preserve">10u</t>
  </si>
  <si>
    <t xml:space="preserve">Capacitor, 10 µF 25 V X5R ±10%</t>
  </si>
  <si>
    <t xml:space="preserve">CL21A106KAYNNNE</t>
  </si>
  <si>
    <t xml:space="preserve">C15850</t>
  </si>
  <si>
    <t xml:space="preserve">C26,C27,C31,C32</t>
  </si>
  <si>
    <t xml:space="preserve">2.2u</t>
  </si>
  <si>
    <t xml:space="preserve">Capacitor, 2.2 µF 50 V X5R ±10%</t>
  </si>
  <si>
    <t xml:space="preserve">CL21A225KBQNNNE</t>
  </si>
  <si>
    <t xml:space="preserve">C377773</t>
  </si>
  <si>
    <t xml:space="preserve">D1,D5</t>
  </si>
  <si>
    <t xml:space="preserve">RED</t>
  </si>
  <si>
    <t xml:space="preserve">LED, red 630 nm</t>
  </si>
  <si>
    <t xml:space="preserve">NATIONSTAR</t>
  </si>
  <si>
    <t xml:space="preserve">NCD0805R1</t>
  </si>
  <si>
    <t xml:space="preserve">C84256</t>
  </si>
  <si>
    <t xml:space="preserve">Check the cathode mark against the footprint.</t>
  </si>
  <si>
    <t xml:space="preserve">D2,D3,D6</t>
  </si>
  <si>
    <t xml:space="preserve">GREEN</t>
  </si>
  <si>
    <t xml:space="preserve">LED, yellow-green 571 nm (AlInGaP, Vf ~2 V)</t>
  </si>
  <si>
    <t xml:space="preserve">LITEON</t>
  </si>
  <si>
    <t xml:space="preserve">LTST-C170KGKT</t>
  </si>
  <si>
    <t xml:space="preserve">C98221</t>
  </si>
  <si>
    <t xml:space="preserve">Not the Basic green (KT-0805G, C2297): that is a 525 nm InGaN LED with Vf 2.6-3.1 V, which barely lights on D6 (PA2 at 3.3 V through 470 R).</t>
  </si>
  <si>
    <t xml:space="preserve">D4</t>
  </si>
  <si>
    <t xml:space="preserve">SS14</t>
  </si>
  <si>
    <t xml:space="preserve">Diode, Schottky 40 V 1 A (motor flyback)</t>
  </si>
  <si>
    <t xml:space="preserve">D_SMA</t>
  </si>
  <si>
    <t xml:space="preserve">MDD(Microdiode Semiconductor)</t>
  </si>
  <si>
    <t xml:space="preserve">C2480</t>
  </si>
  <si>
    <t xml:space="preserve">FB1,FB2</t>
  </si>
  <si>
    <t xml:space="preserve">600R@100MHz</t>
  </si>
  <si>
    <t xml:space="preserve">Ferrite bead, 600 Ω @ 100 MHz, 300 mA, 0.52 Ω</t>
  </si>
  <si>
    <t xml:space="preserve">0402</t>
  </si>
  <si>
    <t xml:space="preserve">muRata</t>
  </si>
  <si>
    <t xml:space="preserve">BLM15AG601SN1D</t>
  </si>
  <si>
    <t xml:space="preserve">C76884</t>
  </si>
  <si>
    <t xml:space="preserve">J1</t>
  </si>
  <si>
    <t xml:space="preserve">USB-C</t>
  </si>
  <si>
    <t xml:space="preserve">USB-C receptacle, USB 2.0, 16-pin, SMT</t>
  </si>
  <si>
    <t xml:space="preserve">USB_C_Receptacle_GCT_USB4110</t>
  </si>
  <si>
    <t xml:space="preserve">Global Connector Technology</t>
  </si>
  <si>
    <t xml:space="preserve">USB4110-GF-A</t>
  </si>
  <si>
    <t xml:space="preserve">C5143397</t>
  </si>
  <si>
    <t xml:space="preserve">LCSC shows 0 in stock but JLCPCB assembly holds 710. For hand assembly buy it from Digi-Key (2073-USB4110-GF-A-1-ND).</t>
  </si>
  <si>
    <t xml:space="preserve">J2</t>
  </si>
  <si>
    <t xml:space="preserve">BATTERY</t>
  </si>
  <si>
    <t xml:space="preserve">JST XA header, 2-pos 2.50 mm, vertical, THT</t>
  </si>
  <si>
    <t xml:space="preserve">JST_XA_B02B-XASK-1_1x02_P2.50mm_Vertical</t>
  </si>
  <si>
    <t xml:space="preserve">JST</t>
  </si>
  <si>
    <t xml:space="preserve">B02B-XASK-1(LF)(SN)</t>
  </si>
  <si>
    <t xml:space="preserve">C263753</t>
  </si>
  <si>
    <t xml:space="preserve">Through-hole.</t>
  </si>
  <si>
    <t xml:space="preserve">J3</t>
  </si>
  <si>
    <t xml:space="preserve">SWD</t>
  </si>
  <si>
    <t xml:space="preserve">Pin header, 1x4, 2.54 mm, vertical, THT</t>
  </si>
  <si>
    <t xml:space="preserve">PinHeader_1x04_P2.54mm_Vertical</t>
  </si>
  <si>
    <t xml:space="preserve">XFCN</t>
  </si>
  <si>
    <t xml:space="preserve">PZ254V-11-04P</t>
  </si>
  <si>
    <t xml:space="preserve">C2691448</t>
  </si>
  <si>
    <t xml:space="preserve">J4</t>
  </si>
  <si>
    <t xml:space="preserve">VIB_MOTOR</t>
  </si>
  <si>
    <t xml:space="preserve">Pin header, 1x2, 2.54 mm, vertical, THT</t>
  </si>
  <si>
    <t xml:space="preserve">PinHeader_1x02_P2.54mm_Vertical</t>
  </si>
  <si>
    <t xml:space="preserve">PZ254V-11-02P</t>
  </si>
  <si>
    <t xml:space="preserve">C492401</t>
  </si>
  <si>
    <t xml:space="preserve">Through-hole. The motor itself is not in this BOM.</t>
  </si>
  <si>
    <t xml:space="preserve">J5,J6</t>
  </si>
  <si>
    <t xml:space="preserve">CSO / CSI</t>
  </si>
  <si>
    <t xml:space="preserve">Solder pads for the capacitive-sensor electrode (PCB feature)</t>
  </si>
  <si>
    <t xml:space="preserve">SolderWirePad_1x01_SMD_1x2mm</t>
  </si>
  <si>
    <t xml:space="preserve">Nothing to buy.</t>
  </si>
  <si>
    <t xml:space="preserve">J7</t>
  </si>
  <si>
    <t xml:space="preserve">PN532</t>
  </si>
  <si>
    <t xml:space="preserve">Socket header, 1x8, 2.54 mm, female, vertical, THT</t>
  </si>
  <si>
    <t xml:space="preserve">PinSocket_1x08_P2.54mm_Vertical</t>
  </si>
  <si>
    <t xml:space="preserve">JXTCONN</t>
  </si>
  <si>
    <t xml:space="preserve">PM2.54-1X8PM-H85</t>
  </si>
  <si>
    <t xml:space="preserve">C42431840</t>
  </si>
  <si>
    <t xml:space="preserve">Through-hole. The PN532 module is not in this BOM.</t>
  </si>
  <si>
    <t xml:space="preserve">L3,L4</t>
  </si>
  <si>
    <t xml:space="preserve">470nH</t>
  </si>
  <si>
    <t xml:space="preserve">Inductor, wirewound ceramic, 470 nH ±5%, 250 mA, 1.76 Ω</t>
  </si>
  <si>
    <t xml:space="preserve">LQW2BASR47J00L</t>
  </si>
  <si>
    <t xml:space="preserve">C337959</t>
  </si>
  <si>
    <t xml:space="preserve">Same rating as the Coilcraft 0805CS-471 in the Digi-Key BOM. The multilayer-ferrite 470 nH parts at LCSC (e.g. TDK MLF2012) have lower DCR but a ferrite core, which is worse for the RF drive.</t>
  </si>
  <si>
    <t xml:space="preserve">Q1</t>
  </si>
  <si>
    <t xml:space="preserve">AO3400A</t>
  </si>
  <si>
    <t xml:space="preserve">MOSFET, N-ch 30 V 5.7 A (motor driver)</t>
  </si>
  <si>
    <t xml:space="preserve">SOT-23</t>
  </si>
  <si>
    <t xml:space="preserve">AOS</t>
  </si>
  <si>
    <t xml:space="preserve">C20917</t>
  </si>
  <si>
    <t xml:space="preserve">R1,R2</t>
  </si>
  <si>
    <t xml:space="preserve">5.1k</t>
  </si>
  <si>
    <t xml:space="preserve">Resistor, 5.1 kΩ ±1% 1/8 W (USB-C CC)</t>
  </si>
  <si>
    <t xml:space="preserve">UNI-ROYAL</t>
  </si>
  <si>
    <t xml:space="preserve">0805W8F5101T5E</t>
  </si>
  <si>
    <t xml:space="preserve">C27834</t>
  </si>
  <si>
    <t xml:space="preserve">R3,R4,R5,R9,R10</t>
  </si>
  <si>
    <t xml:space="preserve">470R</t>
  </si>
  <si>
    <t xml:space="preserve">Resistor, 470 Ω ±1% 1/8 W (LED series)</t>
  </si>
  <si>
    <t xml:space="preserve">0805W8F4700T5E</t>
  </si>
  <si>
    <t xml:space="preserve">C17710</t>
  </si>
  <si>
    <t xml:space="preserve">R6</t>
  </si>
  <si>
    <t xml:space="preserve">1k</t>
  </si>
  <si>
    <t xml:space="preserve">Resistor, ±1% 1/8 W (MCP73833 PROG: sets charge current)</t>
  </si>
  <si>
    <t xml:space="preserve">0805W8F1001T5E</t>
  </si>
  <si>
    <t xml:space="preserve">C17513</t>
  </si>
  <si>
    <t xml:space="preserve">2k</t>
  </si>
  <si>
    <t xml:space="preserve">0805W8F2001T5E</t>
  </si>
  <si>
    <t xml:space="preserve">C17604</t>
  </si>
  <si>
    <t xml:space="preserve">1 kΩ = 1 A charge current, more than a USB-C sink with 5.1 kΩ Rd may draw (500 mA). Set Use alternate = Y for 2 kΩ (500 mA) after changing the schematic.</t>
  </si>
  <si>
    <t xml:space="preserve">R7,R8,R11,R12,R20</t>
  </si>
  <si>
    <t xml:space="preserve">10k</t>
  </si>
  <si>
    <t xml:space="preserve">Resistor, 10 kΩ ±1% 1/8 W</t>
  </si>
  <si>
    <t xml:space="preserve">0805W8F1002T5E</t>
  </si>
  <si>
    <t xml:space="preserve">C17414</t>
  </si>
  <si>
    <t xml:space="preserve">R15</t>
  </si>
  <si>
    <t xml:space="preserve">1.5k</t>
  </si>
  <si>
    <t xml:space="preserve">Resistor, 1.5 kΩ ±1% 1/8 W (antenna damping)</t>
  </si>
  <si>
    <t xml:space="preserve">0805W8F1501T5E</t>
  </si>
  <si>
    <t xml:space="preserve">C4310</t>
  </si>
  <si>
    <t xml:space="preserve">May change during antenna tuning.</t>
  </si>
  <si>
    <t xml:space="preserve">R16,R18,R19</t>
  </si>
  <si>
    <t xml:space="preserve">4.7M</t>
  </si>
  <si>
    <t xml:space="preserve">Resistor, 4.7 MΩ ±1% 1/8 W (battery and VBUS dividers)</t>
  </si>
  <si>
    <t xml:space="preserve">0805W8F4704T5E</t>
  </si>
  <si>
    <t xml:space="preserve">C17674</t>
  </si>
  <si>
    <t xml:space="preserve">R17</t>
  </si>
  <si>
    <t xml:space="preserve">2.7M</t>
  </si>
  <si>
    <t xml:space="preserve">Resistor, 2.7 MΩ ±1% 1/8 W (battery divider low leg)</t>
  </si>
  <si>
    <t xml:space="preserve">0805W8F2704T5E</t>
  </si>
  <si>
    <t xml:space="preserve">C17531</t>
  </si>
  <si>
    <t xml:space="preserve">R21,R22</t>
  </si>
  <si>
    <t xml:space="preserve">0</t>
  </si>
  <si>
    <t xml:space="preserve">Resistor, 0 Ω jumper (antenna feed)</t>
  </si>
  <si>
    <t xml:space="preserve">0805W8F0000T5E</t>
  </si>
  <si>
    <t xml:space="preserve">C17477</t>
  </si>
  <si>
    <t xml:space="preserve">SW1,SW2,SW3</t>
  </si>
  <si>
    <t xml:space="preserve">RST / BOOT0 / POWER</t>
  </si>
  <si>
    <t xml:space="preserve">Tactile switch, SPST-NO, 250 gf, 2.5 mm height, SMT</t>
  </si>
  <si>
    <t xml:space="preserve">SW_Tactile_SPST_NO_Straight_CK_PTS636Sx25SMTRLFS</t>
  </si>
  <si>
    <t xml:space="preserve">C&amp;K</t>
  </si>
  <si>
    <t xml:space="preserve">PTS636SK25SMTRLFS</t>
  </si>
  <si>
    <t xml:space="preserve">C2689642</t>
  </si>
  <si>
    <t xml:space="preserve">PTS636 SK25 (250 gf) because the SM25 (180 gf, C2799946) is out of stock at LCSC. Same footprint, slightly stiffer press.</t>
  </si>
  <si>
    <t xml:space="preserve">TH1</t>
  </si>
  <si>
    <t xml:space="preserve">10k NTC</t>
  </si>
  <si>
    <t xml:space="preserve">NTC thermistor, 10 kΩ ±5%, B25/85 = 3977 K, leaded</t>
  </si>
  <si>
    <t xml:space="preserve">R_Axial_DIN0204_L3.6mm_D1.6mm_P1.90mm_Vertical</t>
  </si>
  <si>
    <t xml:space="preserve">VISHAY</t>
  </si>
  <si>
    <t xml:space="preserve">NTCLE100E3103JB0</t>
  </si>
  <si>
    <t xml:space="preserve">C141588</t>
  </si>
  <si>
    <t xml:space="preserve">Through-hole; bend the leads to the 1.9 mm footprint pitch.</t>
  </si>
  <si>
    <t xml:space="preserve">U1</t>
  </si>
  <si>
    <t xml:space="preserve">STM32L432KCU6</t>
  </si>
  <si>
    <t xml:space="preserve">MCU, Cortex-M4F 80 MHz, 256 kB flash, 64 kB RAM</t>
  </si>
  <si>
    <t xml:space="preserve">QFN-32-1EP_5x5mm_P0.5mm_EP3.45x3.45mm</t>
  </si>
  <si>
    <t xml:space="preserve">ST</t>
  </si>
  <si>
    <t xml:space="preserve">C1337280</t>
  </si>
  <si>
    <t xml:space="preserve">OUT OF STOCK at LCSC and JLCPCB. Buy it from Digi-Key (497-STM32L432KCU6TRCT-ND) and hand-solder it or send it to JLCPCB as a consigned part. Do not swap in the STM32L432KBU6 (128 kB): the firmware keeps its log in the upper 128 kB of flash.</t>
  </si>
  <si>
    <t xml:space="preserve">U2</t>
  </si>
  <si>
    <t xml:space="preserve">MCP73833</t>
  </si>
  <si>
    <t xml:space="preserve">Li-ion charger, 1 cell, 4.20 V, up to 1 A</t>
  </si>
  <si>
    <t xml:space="preserve">MSOP-10_3x3mm_P0.5mm</t>
  </si>
  <si>
    <t xml:space="preserve">MICROCHIP</t>
  </si>
  <si>
    <t xml:space="preserve">MCP73833T-AMI/UN</t>
  </si>
  <si>
    <t xml:space="preserve">C627668</t>
  </si>
  <si>
    <t xml:space="preserve">MCP73833T-AMI/UN is the tape-and-reel version of MCP73833-AMI/UN (C511281, out of stock). AMI = 4.20 V.</t>
  </si>
  <si>
    <t xml:space="preserve">U3</t>
  </si>
  <si>
    <t xml:space="preserve">TPS7A0233</t>
  </si>
  <si>
    <t xml:space="preserve">LDO, 3.3 V 200 mA, 25 nA IQ</t>
  </si>
  <si>
    <t xml:space="preserve">SOT23_DBV_TEX-L</t>
  </si>
  <si>
    <t xml:space="preserve">TI</t>
  </si>
  <si>
    <t xml:space="preserve">TPS7A0233PDBVR</t>
  </si>
  <si>
    <t xml:space="preserve">C2887324</t>
  </si>
  <si>
    <t xml:space="preserve">U5</t>
  </si>
  <si>
    <t xml:space="preserve">ST25R3916</t>
  </si>
  <si>
    <t xml:space="preserve">NFC reader IC, 13.56 MHz, SPI</t>
  </si>
  <si>
    <t xml:space="preserve">QFN50P500X500X100-33N</t>
  </si>
  <si>
    <t xml:space="preserve">ST25R3916-AQWT</t>
  </si>
  <si>
    <t xml:space="preserve">C2908147</t>
  </si>
  <si>
    <t xml:space="preserve">ST25R3916B</t>
  </si>
  <si>
    <t xml:space="preserve">ST25R3916B-AQWT</t>
  </si>
  <si>
    <t xml:space="preserve">C5267436</t>
  </si>
  <si>
    <t xml:space="preserve">In stock at LCSC (unlike Digi-Key), but only about 100. The alternate is the newer ST25R3916B-AQWT; check its datasheet for differences before swapping.</t>
  </si>
  <si>
    <t xml:space="preserve">U6</t>
  </si>
  <si>
    <t xml:space="preserve">USBLC6-2SC6</t>
  </si>
  <si>
    <t xml:space="preserve">USB ESD protection, 2 lines + VBUS</t>
  </si>
  <si>
    <t xml:space="preserve">SOT-23-6</t>
  </si>
  <si>
    <t xml:space="preserve">C7519</t>
  </si>
  <si>
    <t xml:space="preserve">Genuine ST part.</t>
  </si>
  <si>
    <t xml:space="preserve">Y1</t>
  </si>
  <si>
    <t xml:space="preserve">27.12MHz</t>
  </si>
  <si>
    <t xml:space="preserve">Crystal, 27.12 MHz, CL 10 pF, ±10 ppm, 50 Ω</t>
  </si>
  <si>
    <t xml:space="preserve">Crystal_SMD_3225-4Pin_3.2x2.5mm_HandSoldering</t>
  </si>
  <si>
    <t xml:space="preserve">YXC Crystal Oscillators</t>
  </si>
  <si>
    <t xml:space="preserve">X32252712MMB4SI</t>
  </si>
  <si>
    <t xml:space="preserve">C29975</t>
  </si>
  <si>
    <t xml:space="preserve">CL 10 pF matches C9/C10 = 15 pF. The Abracon ABM8 part (C1986308) has only 1 in stock.</t>
  </si>
  <si>
    <t xml:space="preserve">Y2</t>
  </si>
  <si>
    <t xml:space="preserve">32.768k</t>
  </si>
  <si>
    <t xml:space="preserve">Crystal, 32.768 kHz, CL 6 pF, ±20 ppm, 3.2x1.5 mm</t>
  </si>
  <si>
    <t xml:space="preserve">Crystal_SMD_EuroQuartz_EQ161-2Pin_3.2x1.5mm</t>
  </si>
  <si>
    <t xml:space="preserve">EPSON</t>
  </si>
  <si>
    <t xml:space="preserve">Q13FC13500049</t>
  </si>
  <si>
    <t xml:space="preserve">C95361</t>
  </si>
  <si>
    <t xml:space="preserve">Epson FC-135. No 4 pF crystal comes in 3.2x1.5 mm at LCSC (4 pF parts are 2.0x1.2 mm), so C6/C7 are 8.2 pF.</t>
  </si>
  <si>
    <t xml:space="preserve">AE3</t>
  </si>
  <si>
    <t xml:space="preserve">Antenna_Loop</t>
  </si>
  <si>
    <t xml:space="preserve">NFC loop antenna (PCB copper)</t>
  </si>
  <si>
    <t xml:space="preserve">NFC_Loop_40x30_3T</t>
  </si>
  <si>
    <t xml:space="preserve">Etched on the PCB: nothing to buy.</t>
  </si>
  <si>
    <t xml:space="preserve">(cable) J2 mate</t>
  </si>
  <si>
    <t xml:space="preserve">XAP-02V-1</t>
  </si>
  <si>
    <t xml:space="preserve">Battery cable: JST XA 2-pos housing</t>
  </si>
  <si>
    <t xml:space="preserve">C157892</t>
  </si>
  <si>
    <t xml:space="preserve">Optional: only if you make the battery lead yourself. Set Include = Y.</t>
  </si>
  <si>
    <t xml:space="preserve">SXA-001T-P0.6</t>
  </si>
  <si>
    <t xml:space="preserve">Battery cable: JST XA crimp contact, 22-28 AWG</t>
  </si>
  <si>
    <t xml:space="preserve">C246759</t>
  </si>
  <si>
    <t xml:space="preserve">Optional. Needs a JST XA crimp tool.</t>
  </si>
  <si>
    <t xml:space="preserve">Estimated LCSC parts total (USD)</t>
  </si>
  <si>
    <t xml:space="preserve">Estimate only, at the price for the LCSC minimum lot. Excludes the PCB, JLCPCB assembly and loading fees, battery, motor, PN532 module, shipping and tax.</t>
  </si>
  <si>
    <t xml:space="preserve">Lines to order (order qty &gt; 0)</t>
  </si>
  <si>
    <t xml:space="preserve">JLCPCB Extended part types (each has a loading fee)</t>
  </si>
  <si>
    <t xml:space="preserve">JLCPCB Basic / Preferred ext. types (no loading fee)</t>
  </si>
  <si>
    <t xml:space="preserve">Comment</t>
  </si>
  <si>
    <t xml:space="preserve">Designator</t>
  </si>
  <si>
    <t xml:space="preserve">LCSC Part #</t>
  </si>
  <si>
    <t xml:space="preserve">Quantity</t>
  </si>
  <si>
    <t xml:space="preserve">LCSC Part Number</t>
  </si>
  <si>
    <t xml:space="preserve">Manufacturer Part Number</t>
  </si>
  <si>
    <t xml:space="preserve">Customer Reference</t>
  </si>
</sst>
</file>

<file path=xl/styles.xml><?xml version="1.0" encoding="utf-8"?>
<styleSheet xmlns="http://schemas.openxmlformats.org/spreadsheetml/2006/main">
  <numFmts count="5">
    <numFmt numFmtId="164" formatCode="General"/>
    <numFmt numFmtId="165" formatCode="#,##0"/>
    <numFmt numFmtId="166" formatCode="\$0.0000"/>
    <numFmt numFmtId="167" formatCode="\$#,##0.00"/>
    <numFmt numFmtId="168" formatCode="0"/>
  </numFmts>
  <fonts count="1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0"/>
      <name val="Arial"/>
      <family val="0"/>
      <charset val="1"/>
    </font>
    <font>
      <b val="true"/>
      <sz val="14"/>
      <name val="Arial"/>
      <family val="0"/>
      <charset val="1"/>
    </font>
    <font>
      <i val="true"/>
      <sz val="9"/>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5">
    <fill>
      <patternFill patternType="none"/>
    </fill>
    <fill>
      <patternFill patternType="gray125"/>
    </fill>
    <fill>
      <patternFill patternType="solid">
        <fgColor rgb="FFFFFF00"/>
        <bgColor rgb="FFFFFF00"/>
      </patternFill>
    </fill>
    <fill>
      <patternFill patternType="solid">
        <fgColor rgb="FF1F4E78"/>
        <bgColor rgb="FF003366"/>
      </patternFill>
    </fill>
    <fill>
      <patternFill patternType="solid">
        <fgColor rgb="FFEEF3F8"/>
        <bgColor rgb="FFFFFFFF"/>
      </patternFill>
    </fill>
  </fills>
  <borders count="2">
    <border diagonalUp="false" diagonalDown="false">
      <left/>
      <right/>
      <top/>
      <bottom/>
      <diagonal/>
    </border>
    <border diagonalUp="false" diagonalDown="false">
      <left style="thin">
        <color rgb="FFB7C3D0"/>
      </left>
      <right style="thin">
        <color rgb="FFB7C3D0"/>
      </right>
      <top style="thin">
        <color rgb="FFB7C3D0"/>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center"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6" fontId="5" fillId="4" borderId="1" xfId="0" applyFont="true" applyBorder="true" applyAlignment="true" applyProtection="false">
      <alignment horizontal="general" vertical="top" textRotation="0" wrapText="true" indent="0" shrinkToFit="false"/>
      <protection locked="true" hidden="false"/>
    </xf>
    <xf numFmtId="167" fontId="5" fillId="4" borderId="1" xfId="0" applyFont="true" applyBorder="true" applyAlignment="true" applyProtection="false">
      <alignment horizontal="general" vertical="top" textRotation="0" wrapText="tru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8"/>
          <bgColor rgb="FF000000"/>
        </patternFill>
      </fill>
    </dxf>
    <dxf>
      <fill>
        <patternFill patternType="solid">
          <fgColor rgb="FFEEF3F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F00"/>
          <bgColor rgb="FF000000"/>
        </patternFill>
      </fill>
    </dxf>
    <dxf>
      <fill>
        <patternFill patternType="solid">
          <fgColor rgb="FF0000FF"/>
          <bgColor rgb="FF000000"/>
        </patternFill>
      </fill>
    </dxf>
    <dxf>
      <font>
        <name val="Arial"/>
        <charset val="1"/>
        <family val="0"/>
        <b val="1"/>
        <color rgb="FFC00000"/>
        <sz val="1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C3D0"/>
      <rgbColor rgb="FF808080"/>
      <rgbColor rgb="FF9999FF"/>
      <rgbColor rgb="FF993366"/>
      <rgbColor rgb="FFEEF3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20"/>
  </cols>
  <sheetData>
    <row r="1" customFormat="false" ht="15" hidden="false" customHeight="false" outlineLevel="0" collapsed="false">
      <c r="A1" s="1" t="s">
        <v>0</v>
      </c>
    </row>
    <row r="2" customFormat="false" ht="23.85" hidden="false" customHeight="false" outlineLevel="0" collapsed="false">
      <c r="A2" s="2" t="s">
        <v>1</v>
      </c>
    </row>
    <row r="3" customFormat="false" ht="46.25" hidden="false" customHeight="false" outlineLevel="0" collapsed="false">
      <c r="A3" s="2" t="s">
        <v>2</v>
      </c>
    </row>
    <row r="4" customFormat="false" ht="35.05" hidden="false" customHeight="false" outlineLevel="0" collapsed="false">
      <c r="A4" s="2" t="s">
        <v>3</v>
      </c>
    </row>
    <row r="5" customFormat="false" ht="15" hidden="false" customHeight="false" outlineLevel="0" collapsed="false">
      <c r="A5" s="2" t="s">
        <v>4</v>
      </c>
    </row>
    <row r="6" customFormat="false" ht="15" hidden="false" customHeight="false" outlineLevel="0" collapsed="false">
      <c r="A6" s="2"/>
    </row>
    <row r="7" customFormat="false" ht="15" hidden="false" customHeight="false" outlineLevel="0" collapsed="false">
      <c r="A7" s="1" t="s">
        <v>5</v>
      </c>
    </row>
    <row r="8" customFormat="false" ht="35.05" hidden="false" customHeight="false" outlineLevel="0" collapsed="false">
      <c r="A8" s="2" t="s">
        <v>6</v>
      </c>
    </row>
    <row r="9" customFormat="false" ht="15" hidden="false" customHeight="false" outlineLevel="0" collapsed="false">
      <c r="A9" s="2"/>
    </row>
    <row r="10" customFormat="false" ht="15" hidden="false" customHeight="false" outlineLevel="0" collapsed="false">
      <c r="A10" s="1" t="s">
        <v>7</v>
      </c>
    </row>
    <row r="11" customFormat="false" ht="23.85" hidden="false" customHeight="false" outlineLevel="0" collapsed="false">
      <c r="A11" s="2" t="s">
        <v>8</v>
      </c>
    </row>
    <row r="12" customFormat="false" ht="23.8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row>
    <row r="16" customFormat="false" ht="15" hidden="false" customHeight="false" outlineLevel="0" collapsed="false">
      <c r="A16" s="1" t="s">
        <v>12</v>
      </c>
    </row>
    <row r="17" customFormat="false" ht="46.25" hidden="false" customHeight="false" outlineLevel="0" collapsed="false">
      <c r="A17" s="2" t="s">
        <v>13</v>
      </c>
    </row>
    <row r="18" customFormat="false" ht="15" hidden="false" customHeight="false" outlineLevel="0" collapsed="false">
      <c r="A18" s="2"/>
    </row>
    <row r="19" customFormat="false" ht="15" hidden="false" customHeight="false" outlineLevel="0" collapsed="false">
      <c r="A19" s="1" t="s">
        <v>14</v>
      </c>
    </row>
    <row r="20" customFormat="false" ht="23.85" hidden="false" customHeight="false" outlineLevel="0" collapsed="false">
      <c r="A20" s="2" t="s">
        <v>15</v>
      </c>
    </row>
    <row r="21" customFormat="false" ht="15" hidden="false" customHeight="false" outlineLevel="0" collapsed="false">
      <c r="A21" s="2"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7"/>
    <col collapsed="false" customWidth="true" hidden="false" outlineLevel="0" max="4" min="4" style="0" width="12"/>
    <col collapsed="false" customWidth="true" hidden="false" outlineLevel="0" max="5" min="5" style="0" width="38"/>
    <col collapsed="false" customWidth="true" hidden="false" outlineLevel="0" max="6" min="6" style="0" width="26"/>
    <col collapsed="false" customWidth="true" hidden="false" outlineLevel="0" max="7" min="7" style="0" width="20"/>
    <col collapsed="false" customWidth="true" hidden="false" outlineLevel="0" max="8" min="8" style="0" width="22"/>
    <col collapsed="false" customWidth="true" hidden="false" outlineLevel="0" max="11" min="9" style="0" width="11"/>
    <col collapsed="false" customWidth="true" hidden="false" outlineLevel="0" max="12" min="12" style="0" width="10"/>
    <col collapsed="false" customWidth="true" hidden="false" outlineLevel="0" max="13" min="13" style="0" width="8"/>
    <col collapsed="false" customWidth="true" hidden="false" outlineLevel="0" max="16" min="14" style="0" width="9"/>
    <col collapsed="false" customWidth="true" hidden="false" outlineLevel="0" max="17" min="17" style="0" width="16"/>
    <col collapsed="false" customWidth="true" hidden="false" outlineLevel="0" max="18" min="18" style="0" width="18"/>
    <col collapsed="false" customWidth="true" hidden="false" outlineLevel="0" max="20" min="19" style="0" width="11"/>
    <col collapsed="false" customWidth="true" hidden="false" outlineLevel="0" max="22" min="21" style="0" width="10"/>
    <col collapsed="false" customWidth="true" hidden="false" outlineLevel="0" max="23" min="23" style="0" width="8"/>
    <col collapsed="false" customWidth="true" hidden="false" outlineLevel="0" max="24" min="24" style="0" width="9"/>
    <col collapsed="false" customWidth="true" hidden="false" outlineLevel="0" max="25" min="25" style="0" width="8"/>
    <col collapsed="false" customWidth="true" hidden="false" outlineLevel="0" max="26" min="26" style="0" width="7"/>
    <col collapsed="false" customWidth="true" hidden="false" outlineLevel="0" max="28" min="27" style="0" width="8"/>
    <col collapsed="false" customWidth="true" hidden="false" outlineLevel="0" max="29" min="29" style="0" width="10"/>
    <col collapsed="false" customWidth="true" hidden="false" outlineLevel="0" max="30" min="30" style="0" width="20"/>
    <col collapsed="false" customWidth="true" hidden="false" outlineLevel="0" max="31" min="31" style="0" width="22"/>
    <col collapsed="false" customWidth="true" hidden="false" outlineLevel="0" max="32" min="32" style="0" width="11"/>
    <col collapsed="false" customWidth="true" hidden="false" outlineLevel="0" max="33" min="33" style="0" width="12"/>
    <col collapsed="false" customWidth="true" hidden="false" outlineLevel="0" max="34" min="34" style="0" width="10"/>
    <col collapsed="false" customWidth="true" hidden="false" outlineLevel="0" max="35" min="35" style="0" width="9"/>
    <col collapsed="false" customWidth="true" hidden="false" outlineLevel="0" max="36" min="36" style="0" width="60"/>
    <col collapsed="false" customWidth="true" hidden="false" outlineLevel="0" max="37" min="37" style="0" width="8"/>
  </cols>
  <sheetData>
    <row r="1" customFormat="false" ht="17.35" hidden="false" customHeight="false" outlineLevel="0" collapsed="false">
      <c r="A1" s="3" t="s">
        <v>17</v>
      </c>
    </row>
    <row r="2" customFormat="false" ht="15" hidden="false" customHeight="false" outlineLevel="0" collapsed="false">
      <c r="A2" s="4" t="s">
        <v>18</v>
      </c>
    </row>
    <row r="4" customFormat="false" ht="15" hidden="false" customHeight="false" outlineLevel="0" collapsed="false">
      <c r="A4" s="5" t="s">
        <v>19</v>
      </c>
      <c r="B4" s="6" t="n">
        <v>1</v>
      </c>
    </row>
    <row r="5" customFormat="false" ht="15" hidden="false" customHeight="false" outlineLevel="0" collapsed="false">
      <c r="A5" s="4" t="s">
        <v>20</v>
      </c>
    </row>
    <row r="7" customFormat="false" ht="42" hidden="false" customHeight="true" outlineLevel="0" collapsed="false">
      <c r="A7" s="7" t="s">
        <v>21</v>
      </c>
      <c r="B7" s="7" t="s">
        <v>22</v>
      </c>
      <c r="C7" s="7" t="s">
        <v>23</v>
      </c>
      <c r="D7" s="7" t="s">
        <v>24</v>
      </c>
      <c r="E7" s="7" t="s">
        <v>25</v>
      </c>
      <c r="F7" s="7" t="s">
        <v>26</v>
      </c>
      <c r="G7" s="7" t="s">
        <v>27</v>
      </c>
      <c r="H7" s="7" t="s">
        <v>28</v>
      </c>
      <c r="I7" s="7" t="s">
        <v>29</v>
      </c>
      <c r="J7" s="7" t="s">
        <v>30</v>
      </c>
      <c r="K7" s="7" t="s">
        <v>31</v>
      </c>
      <c r="L7" s="7" t="s">
        <v>32</v>
      </c>
      <c r="M7" s="7" t="s">
        <v>33</v>
      </c>
      <c r="N7" s="7" t="s">
        <v>34</v>
      </c>
      <c r="O7" s="7" t="s">
        <v>35</v>
      </c>
      <c r="P7" s="7" t="s">
        <v>36</v>
      </c>
      <c r="Q7" s="7" t="s">
        <v>37</v>
      </c>
      <c r="R7" s="7" t="s">
        <v>38</v>
      </c>
      <c r="S7" s="7" t="s">
        <v>39</v>
      </c>
      <c r="T7" s="7" t="s">
        <v>40</v>
      </c>
      <c r="U7" s="7" t="s">
        <v>41</v>
      </c>
      <c r="V7" s="7" t="s">
        <v>42</v>
      </c>
      <c r="W7" s="7" t="s">
        <v>43</v>
      </c>
      <c r="X7" s="7" t="s">
        <v>44</v>
      </c>
      <c r="Y7" s="7" t="s">
        <v>45</v>
      </c>
      <c r="Z7" s="7" t="s">
        <v>46</v>
      </c>
      <c r="AA7" s="7" t="s">
        <v>47</v>
      </c>
      <c r="AB7" s="7" t="s">
        <v>48</v>
      </c>
      <c r="AC7" s="7" t="s">
        <v>49</v>
      </c>
      <c r="AD7" s="7" t="s">
        <v>50</v>
      </c>
      <c r="AE7" s="7" t="s">
        <v>51</v>
      </c>
      <c r="AF7" s="7" t="s">
        <v>52</v>
      </c>
      <c r="AG7" s="7" t="s">
        <v>53</v>
      </c>
      <c r="AH7" s="7" t="s">
        <v>54</v>
      </c>
      <c r="AI7" s="7" t="s">
        <v>55</v>
      </c>
      <c r="AJ7" s="7" t="s">
        <v>56</v>
      </c>
      <c r="AK7" s="7" t="s">
        <v>57</v>
      </c>
    </row>
    <row r="8" customFormat="false" ht="23.85" hidden="false" customHeight="false" outlineLevel="0" collapsed="false">
      <c r="A8" s="8" t="n">
        <v>1</v>
      </c>
      <c r="B8" s="8" t="s">
        <v>58</v>
      </c>
      <c r="C8" s="8" t="n">
        <v>12</v>
      </c>
      <c r="D8" s="8" t="s">
        <v>59</v>
      </c>
      <c r="E8" s="8" t="s">
        <v>60</v>
      </c>
      <c r="F8" s="8" t="s">
        <v>61</v>
      </c>
      <c r="G8" s="8" t="s">
        <v>62</v>
      </c>
      <c r="H8" s="8" t="s">
        <v>63</v>
      </c>
      <c r="I8" s="8" t="s">
        <v>64</v>
      </c>
      <c r="J8" s="8" t="s">
        <v>65</v>
      </c>
      <c r="K8" s="9" t="n">
        <v>9771320</v>
      </c>
      <c r="L8" s="9" t="n">
        <v>18198779</v>
      </c>
      <c r="M8" s="8" t="n">
        <v>20</v>
      </c>
      <c r="N8" s="10" t="n">
        <v>0.0192</v>
      </c>
      <c r="O8" s="11" t="s">
        <v>66</v>
      </c>
      <c r="P8" s="8"/>
      <c r="Q8" s="8"/>
      <c r="R8" s="8"/>
      <c r="S8" s="8"/>
      <c r="T8" s="8"/>
      <c r="U8" s="9"/>
      <c r="V8" s="9"/>
      <c r="W8" s="8"/>
      <c r="X8" s="10"/>
      <c r="Y8" s="11" t="s">
        <v>67</v>
      </c>
      <c r="Z8" s="11" t="n">
        <v>0</v>
      </c>
      <c r="AA8" s="8" t="n">
        <f aca="false">IF(Y8="Y",C8*$B$4+Z8,0)</f>
        <v>12</v>
      </c>
      <c r="AB8" s="8" t="n">
        <f aca="false">IF(AA8=0,0,MAX(IF(O8="Y",W8,M8),CEILING(AA8,IF(O8="Y",W8,M8))))</f>
        <v>20</v>
      </c>
      <c r="AC8" s="8" t="str">
        <f aca="false">IF(O8="Y",P8,D8)&amp;""</f>
        <v>100n</v>
      </c>
      <c r="AD8" s="8" t="str">
        <f aca="false">IF(O8="Y",Q8,G8)&amp;""</f>
        <v>YAGEO</v>
      </c>
      <c r="AE8" s="8" t="str">
        <f aca="false">IF(O8="Y",R8,H8)&amp;""</f>
        <v>CC0805KRX7R9BB104</v>
      </c>
      <c r="AF8" s="8" t="str">
        <f aca="false">IF(O8="Y",S8,I8)&amp;""</f>
        <v>C49678</v>
      </c>
      <c r="AG8" s="8" t="str">
        <f aca="false">IF(O8="Y",T8,J8)&amp;""</f>
        <v>Basic</v>
      </c>
      <c r="AH8" s="9" t="n">
        <f aca="false">IF(OR(AF8="",Y8&lt;&gt;"Y"),"",INT(IF(O8="Y",V8,L8)/C8))</f>
        <v>1516564</v>
      </c>
      <c r="AI8" s="12" t="n">
        <f aca="false">AB8*IF(O8="Y",X8,N8)</f>
        <v>0.384</v>
      </c>
      <c r="AJ8" s="8" t="s">
        <v>68</v>
      </c>
      <c r="AK8" s="8" t="str">
        <f aca="false">IF(AF8="","",HYPERLINK("https://www.lcsc.com/product-detail/"&amp;AF8&amp;".html","open"))</f>
        <v>open</v>
      </c>
    </row>
    <row r="9" customFormat="false" ht="23.85" hidden="false" customHeight="false" outlineLevel="0" collapsed="false">
      <c r="A9" s="13" t="n">
        <v>2</v>
      </c>
      <c r="B9" s="13" t="s">
        <v>69</v>
      </c>
      <c r="C9" s="13" t="n">
        <v>2</v>
      </c>
      <c r="D9" s="13" t="s">
        <v>70</v>
      </c>
      <c r="E9" s="13" t="s">
        <v>71</v>
      </c>
      <c r="F9" s="13" t="s">
        <v>61</v>
      </c>
      <c r="G9" s="13" t="s">
        <v>72</v>
      </c>
      <c r="H9" s="13" t="s">
        <v>73</v>
      </c>
      <c r="I9" s="13" t="s">
        <v>74</v>
      </c>
      <c r="J9" s="13" t="s">
        <v>65</v>
      </c>
      <c r="K9" s="14" t="n">
        <v>1968760</v>
      </c>
      <c r="L9" s="14" t="n">
        <v>2946783</v>
      </c>
      <c r="M9" s="13" t="n">
        <v>20</v>
      </c>
      <c r="N9" s="15" t="n">
        <v>0.0348</v>
      </c>
      <c r="O9" s="11" t="s">
        <v>66</v>
      </c>
      <c r="P9" s="13"/>
      <c r="Q9" s="13"/>
      <c r="R9" s="13"/>
      <c r="S9" s="13"/>
      <c r="T9" s="13"/>
      <c r="U9" s="14"/>
      <c r="V9" s="14"/>
      <c r="W9" s="13"/>
      <c r="X9" s="15"/>
      <c r="Y9" s="11" t="s">
        <v>67</v>
      </c>
      <c r="Z9" s="11" t="n">
        <v>0</v>
      </c>
      <c r="AA9" s="13" t="n">
        <f aca="false">IF(Y9="Y",C9*$B$4+Z9,0)</f>
        <v>2</v>
      </c>
      <c r="AB9" s="13" t="n">
        <f aca="false">IF(AA9=0,0,MAX(IF(O9="Y",W9,M9),CEILING(AA9,IF(O9="Y",W9,M9))))</f>
        <v>20</v>
      </c>
      <c r="AC9" s="13" t="str">
        <f aca="false">IF(O9="Y",P9,D9)&amp;""</f>
        <v>4.7u</v>
      </c>
      <c r="AD9" s="13" t="str">
        <f aca="false">IF(O9="Y",Q9,G9)&amp;""</f>
        <v>Samsung Electro-Mechanics</v>
      </c>
      <c r="AE9" s="13" t="str">
        <f aca="false">IF(O9="Y",R9,H9)&amp;""</f>
        <v>CL21A475KAQNNNE</v>
      </c>
      <c r="AF9" s="13" t="str">
        <f aca="false">IF(O9="Y",S9,I9)&amp;""</f>
        <v>C1779</v>
      </c>
      <c r="AG9" s="13" t="str">
        <f aca="false">IF(O9="Y",T9,J9)&amp;""</f>
        <v>Basic</v>
      </c>
      <c r="AH9" s="14" t="n">
        <f aca="false">IF(OR(AF9="",Y9&lt;&gt;"Y"),"",INT(IF(O9="Y",V9,L9)/C9))</f>
        <v>1473391</v>
      </c>
      <c r="AI9" s="16" t="n">
        <f aca="false">AB9*IF(O9="Y",X9,N9)</f>
        <v>0.696</v>
      </c>
      <c r="AJ9" s="13" t="s">
        <v>75</v>
      </c>
      <c r="AK9" s="13" t="str">
        <f aca="false">IF(AF9="","",HYPERLINK("https://www.lcsc.com/product-detail/"&amp;AF9&amp;".html","open"))</f>
        <v>open</v>
      </c>
    </row>
    <row r="10" customFormat="false" ht="23.85" hidden="false" customHeight="false" outlineLevel="0" collapsed="false">
      <c r="A10" s="8" t="n">
        <v>3</v>
      </c>
      <c r="B10" s="8" t="s">
        <v>76</v>
      </c>
      <c r="C10" s="8" t="n">
        <v>1</v>
      </c>
      <c r="D10" s="8" t="s">
        <v>77</v>
      </c>
      <c r="E10" s="8" t="s">
        <v>78</v>
      </c>
      <c r="F10" s="8" t="s">
        <v>61</v>
      </c>
      <c r="G10" s="8" t="s">
        <v>72</v>
      </c>
      <c r="H10" s="8" t="s">
        <v>79</v>
      </c>
      <c r="I10" s="8" t="s">
        <v>80</v>
      </c>
      <c r="J10" s="8" t="s">
        <v>65</v>
      </c>
      <c r="K10" s="9" t="n">
        <v>1184600</v>
      </c>
      <c r="L10" s="9" t="n">
        <v>2362717</v>
      </c>
      <c r="M10" s="8" t="n">
        <v>50</v>
      </c>
      <c r="N10" s="10" t="n">
        <v>0.0116</v>
      </c>
      <c r="O10" s="11" t="s">
        <v>66</v>
      </c>
      <c r="P10" s="8"/>
      <c r="Q10" s="8"/>
      <c r="R10" s="8"/>
      <c r="S10" s="8"/>
      <c r="T10" s="8"/>
      <c r="U10" s="9"/>
      <c r="V10" s="9"/>
      <c r="W10" s="8"/>
      <c r="X10" s="10"/>
      <c r="Y10" s="11" t="s">
        <v>67</v>
      </c>
      <c r="Z10" s="11" t="n">
        <v>0</v>
      </c>
      <c r="AA10" s="8" t="n">
        <f aca="false">IF(Y10="Y",C10*$B$4+Z10,0)</f>
        <v>1</v>
      </c>
      <c r="AB10" s="8" t="n">
        <f aca="false">IF(AA10=0,0,MAX(IF(O10="Y",W10,M10),CEILING(AA10,IF(O10="Y",W10,M10))))</f>
        <v>50</v>
      </c>
      <c r="AC10" s="8" t="str">
        <f aca="false">IF(O10="Y",P10,D10)&amp;""</f>
        <v>10n</v>
      </c>
      <c r="AD10" s="8" t="str">
        <f aca="false">IF(O10="Y",Q10,G10)&amp;""</f>
        <v>Samsung Electro-Mechanics</v>
      </c>
      <c r="AE10" s="8" t="str">
        <f aca="false">IF(O10="Y",R10,H10)&amp;""</f>
        <v>CL21B103KBANNNC</v>
      </c>
      <c r="AF10" s="8" t="str">
        <f aca="false">IF(O10="Y",S10,I10)&amp;""</f>
        <v>C1710</v>
      </c>
      <c r="AG10" s="8" t="str">
        <f aca="false">IF(O10="Y",T10,J10)&amp;""</f>
        <v>Basic</v>
      </c>
      <c r="AH10" s="9" t="n">
        <f aca="false">IF(OR(AF10="",Y10&lt;&gt;"Y"),"",INT(IF(O10="Y",V10,L10)/C10))</f>
        <v>2362717</v>
      </c>
      <c r="AI10" s="12" t="n">
        <f aca="false">AB10*IF(O10="Y",X10,N10)</f>
        <v>0.58</v>
      </c>
      <c r="AJ10" s="8"/>
      <c r="AK10" s="8" t="str">
        <f aca="false">IF(AF10="","",HYPERLINK("https://www.lcsc.com/product-detail/"&amp;AF10&amp;".html","open"))</f>
        <v>open</v>
      </c>
    </row>
    <row r="11" customFormat="false" ht="23.85" hidden="false" customHeight="false" outlineLevel="0" collapsed="false">
      <c r="A11" s="13" t="n">
        <v>4</v>
      </c>
      <c r="B11" s="13" t="s">
        <v>81</v>
      </c>
      <c r="C11" s="13" t="n">
        <v>2</v>
      </c>
      <c r="D11" s="13" t="s">
        <v>82</v>
      </c>
      <c r="E11" s="13" t="s">
        <v>83</v>
      </c>
      <c r="F11" s="13" t="s">
        <v>61</v>
      </c>
      <c r="G11" s="13" t="s">
        <v>72</v>
      </c>
      <c r="H11" s="13" t="s">
        <v>84</v>
      </c>
      <c r="I11" s="13" t="s">
        <v>85</v>
      </c>
      <c r="J11" s="13" t="s">
        <v>65</v>
      </c>
      <c r="K11" s="14" t="n">
        <v>271530</v>
      </c>
      <c r="L11" s="14" t="n">
        <v>2506668</v>
      </c>
      <c r="M11" s="13" t="n">
        <v>10</v>
      </c>
      <c r="N11" s="15" t="n">
        <v>0.0403</v>
      </c>
      <c r="O11" s="11" t="s">
        <v>66</v>
      </c>
      <c r="P11" s="13"/>
      <c r="Q11" s="13"/>
      <c r="R11" s="13"/>
      <c r="S11" s="13"/>
      <c r="T11" s="13"/>
      <c r="U11" s="14"/>
      <c r="V11" s="14"/>
      <c r="W11" s="13"/>
      <c r="X11" s="15"/>
      <c r="Y11" s="11" t="s">
        <v>67</v>
      </c>
      <c r="Z11" s="11" t="n">
        <v>0</v>
      </c>
      <c r="AA11" s="13" t="n">
        <f aca="false">IF(Y11="Y",C11*$B$4+Z11,0)</f>
        <v>2</v>
      </c>
      <c r="AB11" s="13" t="n">
        <f aca="false">IF(AA11=0,0,MAX(IF(O11="Y",W11,M11),CEILING(AA11,IF(O11="Y",W11,M11))))</f>
        <v>10</v>
      </c>
      <c r="AC11" s="13" t="str">
        <f aca="false">IF(O11="Y",P11,D11)&amp;""</f>
        <v>1u</v>
      </c>
      <c r="AD11" s="13" t="str">
        <f aca="false">IF(O11="Y",Q11,G11)&amp;""</f>
        <v>Samsung Electro-Mechanics</v>
      </c>
      <c r="AE11" s="13" t="str">
        <f aca="false">IF(O11="Y",R11,H11)&amp;""</f>
        <v>CL21B105KBFNNNE</v>
      </c>
      <c r="AF11" s="13" t="str">
        <f aca="false">IF(O11="Y",S11,I11)&amp;""</f>
        <v>C28323</v>
      </c>
      <c r="AG11" s="13" t="str">
        <f aca="false">IF(O11="Y",T11,J11)&amp;""</f>
        <v>Basic</v>
      </c>
      <c r="AH11" s="14" t="n">
        <f aca="false">IF(OR(AF11="",Y11&lt;&gt;"Y"),"",INT(IF(O11="Y",V11,L11)/C11))</f>
        <v>1253334</v>
      </c>
      <c r="AI11" s="16" t="n">
        <f aca="false">AB11*IF(O11="Y",X11,N11)</f>
        <v>0.403</v>
      </c>
      <c r="AJ11" s="13"/>
      <c r="AK11" s="13" t="str">
        <f aca="false">IF(AF11="","",HYPERLINK("https://www.lcsc.com/product-detail/"&amp;AF11&amp;".html","open"))</f>
        <v>open</v>
      </c>
    </row>
    <row r="12" customFormat="false" ht="23.85" hidden="false" customHeight="false" outlineLevel="0" collapsed="false">
      <c r="A12" s="8" t="n">
        <v>5</v>
      </c>
      <c r="B12" s="8" t="s">
        <v>86</v>
      </c>
      <c r="C12" s="8" t="n">
        <v>2</v>
      </c>
      <c r="D12" s="8" t="s">
        <v>87</v>
      </c>
      <c r="E12" s="8" t="s">
        <v>88</v>
      </c>
      <c r="F12" s="8" t="s">
        <v>61</v>
      </c>
      <c r="G12" s="8" t="s">
        <v>89</v>
      </c>
      <c r="H12" s="8" t="s">
        <v>90</v>
      </c>
      <c r="I12" s="8" t="s">
        <v>91</v>
      </c>
      <c r="J12" s="8" t="s">
        <v>92</v>
      </c>
      <c r="K12" s="9" t="n">
        <v>34100</v>
      </c>
      <c r="L12" s="9" t="n">
        <v>34887</v>
      </c>
      <c r="M12" s="8" t="n">
        <v>50</v>
      </c>
      <c r="N12" s="10" t="n">
        <v>0.011</v>
      </c>
      <c r="O12" s="11" t="s">
        <v>66</v>
      </c>
      <c r="P12" s="8"/>
      <c r="Q12" s="8"/>
      <c r="R12" s="8"/>
      <c r="S12" s="8"/>
      <c r="T12" s="8"/>
      <c r="U12" s="9"/>
      <c r="V12" s="9"/>
      <c r="W12" s="8"/>
      <c r="X12" s="10"/>
      <c r="Y12" s="11" t="s">
        <v>67</v>
      </c>
      <c r="Z12" s="11" t="n">
        <v>0</v>
      </c>
      <c r="AA12" s="8" t="n">
        <f aca="false">IF(Y12="Y",C12*$B$4+Z12,0)</f>
        <v>2</v>
      </c>
      <c r="AB12" s="8" t="n">
        <f aca="false">IF(AA12=0,0,MAX(IF(O12="Y",W12,M12),CEILING(AA12,IF(O12="Y",W12,M12))))</f>
        <v>50</v>
      </c>
      <c r="AC12" s="8" t="str">
        <f aca="false">IF(O12="Y",P12,D12)&amp;""</f>
        <v>8.2p</v>
      </c>
      <c r="AD12" s="8" t="str">
        <f aca="false">IF(O12="Y",Q12,G12)&amp;""</f>
        <v>FH</v>
      </c>
      <c r="AE12" s="8" t="str">
        <f aca="false">IF(O12="Y",R12,H12)&amp;""</f>
        <v>0805CG8R2C500NT</v>
      </c>
      <c r="AF12" s="8" t="str">
        <f aca="false">IF(O12="Y",S12,I12)&amp;""</f>
        <v>C1840</v>
      </c>
      <c r="AG12" s="8" t="str">
        <f aca="false">IF(O12="Y",T12,J12)&amp;""</f>
        <v>Extended</v>
      </c>
      <c r="AH12" s="9" t="n">
        <f aca="false">IF(OR(AF12="",Y12&lt;&gt;"Y"),"",INT(IF(O12="Y",V12,L12)/C12))</f>
        <v>17443</v>
      </c>
      <c r="AI12" s="12" t="n">
        <f aca="false">AB12*IF(O12="Y",X12,N12)</f>
        <v>0.55</v>
      </c>
      <c r="AJ12" s="8" t="s">
        <v>93</v>
      </c>
      <c r="AK12" s="8" t="str">
        <f aca="false">IF(AF12="","",HYPERLINK("https://www.lcsc.com/product-detail/"&amp;AF12&amp;".html","open"))</f>
        <v>open</v>
      </c>
    </row>
    <row r="13" customFormat="false" ht="23.85" hidden="false" customHeight="false" outlineLevel="0" collapsed="false">
      <c r="A13" s="13" t="n">
        <v>6</v>
      </c>
      <c r="B13" s="13" t="s">
        <v>94</v>
      </c>
      <c r="C13" s="13" t="n">
        <v>2</v>
      </c>
      <c r="D13" s="13" t="s">
        <v>95</v>
      </c>
      <c r="E13" s="13" t="s">
        <v>96</v>
      </c>
      <c r="F13" s="13" t="s">
        <v>61</v>
      </c>
      <c r="G13" s="13" t="s">
        <v>62</v>
      </c>
      <c r="H13" s="13" t="s">
        <v>97</v>
      </c>
      <c r="I13" s="13" t="s">
        <v>98</v>
      </c>
      <c r="J13" s="13" t="s">
        <v>99</v>
      </c>
      <c r="K13" s="14" t="n">
        <v>118450</v>
      </c>
      <c r="L13" s="14" t="n">
        <v>165907</v>
      </c>
      <c r="M13" s="13" t="n">
        <v>50</v>
      </c>
      <c r="N13" s="15" t="n">
        <v>0.0095</v>
      </c>
      <c r="O13" s="11" t="s">
        <v>66</v>
      </c>
      <c r="P13" s="13"/>
      <c r="Q13" s="13"/>
      <c r="R13" s="13"/>
      <c r="S13" s="13"/>
      <c r="T13" s="13"/>
      <c r="U13" s="14"/>
      <c r="V13" s="14"/>
      <c r="W13" s="13"/>
      <c r="X13" s="15"/>
      <c r="Y13" s="11" t="s">
        <v>67</v>
      </c>
      <c r="Z13" s="11" t="n">
        <v>0</v>
      </c>
      <c r="AA13" s="13" t="n">
        <f aca="false">IF(Y13="Y",C13*$B$4+Z13,0)</f>
        <v>2</v>
      </c>
      <c r="AB13" s="13" t="n">
        <f aca="false">IF(AA13=0,0,MAX(IF(O13="Y",W13,M13),CEILING(AA13,IF(O13="Y",W13,M13))))</f>
        <v>50</v>
      </c>
      <c r="AC13" s="13" t="str">
        <f aca="false">IF(O13="Y",P13,D13)&amp;""</f>
        <v>15p</v>
      </c>
      <c r="AD13" s="13" t="str">
        <f aca="false">IF(O13="Y",Q13,G13)&amp;""</f>
        <v>YAGEO</v>
      </c>
      <c r="AE13" s="13" t="str">
        <f aca="false">IF(O13="Y",R13,H13)&amp;""</f>
        <v>CC0805JRNPO9BN150</v>
      </c>
      <c r="AF13" s="13" t="str">
        <f aca="false">IF(O13="Y",S13,I13)&amp;""</f>
        <v>C107110</v>
      </c>
      <c r="AG13" s="13" t="str">
        <f aca="false">IF(O13="Y",T13,J13)&amp;""</f>
        <v>Preferred ext.</v>
      </c>
      <c r="AH13" s="14" t="n">
        <f aca="false">IF(OR(AF13="",Y13&lt;&gt;"Y"),"",INT(IF(O13="Y",V13,L13)/C13))</f>
        <v>82953</v>
      </c>
      <c r="AI13" s="16" t="n">
        <f aca="false">AB13*IF(O13="Y",X13,N13)</f>
        <v>0.475</v>
      </c>
      <c r="AJ13" s="13"/>
      <c r="AK13" s="13" t="str">
        <f aca="false">IF(AF13="","",HYPERLINK("https://www.lcsc.com/product-detail/"&amp;AF13&amp;".html","open"))</f>
        <v>open</v>
      </c>
    </row>
    <row r="14" customFormat="false" ht="15" hidden="false" customHeight="false" outlineLevel="0" collapsed="false">
      <c r="A14" s="8" t="n">
        <v>7</v>
      </c>
      <c r="B14" s="8" t="s">
        <v>100</v>
      </c>
      <c r="C14" s="8" t="n">
        <v>4</v>
      </c>
      <c r="D14" s="8" t="s">
        <v>101</v>
      </c>
      <c r="E14" s="8" t="s">
        <v>102</v>
      </c>
      <c r="F14" s="8" t="s">
        <v>61</v>
      </c>
      <c r="G14" s="8" t="s">
        <v>62</v>
      </c>
      <c r="H14" s="8" t="s">
        <v>103</v>
      </c>
      <c r="I14" s="8" t="s">
        <v>104</v>
      </c>
      <c r="J14" s="8" t="s">
        <v>92</v>
      </c>
      <c r="K14" s="9" t="n">
        <v>183200</v>
      </c>
      <c r="L14" s="9" t="n">
        <v>184665</v>
      </c>
      <c r="M14" s="8" t="n">
        <v>50</v>
      </c>
      <c r="N14" s="10" t="n">
        <v>0.0081</v>
      </c>
      <c r="O14" s="11" t="s">
        <v>66</v>
      </c>
      <c r="P14" s="8"/>
      <c r="Q14" s="8"/>
      <c r="R14" s="8"/>
      <c r="S14" s="8"/>
      <c r="T14" s="8"/>
      <c r="U14" s="9"/>
      <c r="V14" s="9"/>
      <c r="W14" s="8"/>
      <c r="X14" s="10"/>
      <c r="Y14" s="11" t="s">
        <v>67</v>
      </c>
      <c r="Z14" s="11" t="n">
        <v>0</v>
      </c>
      <c r="AA14" s="8" t="n">
        <f aca="false">IF(Y14="Y",C14*$B$4+Z14,0)</f>
        <v>4</v>
      </c>
      <c r="AB14" s="8" t="n">
        <f aca="false">IF(AA14=0,0,MAX(IF(O14="Y",W14,M14),CEILING(AA14,IF(O14="Y",W14,M14))))</f>
        <v>50</v>
      </c>
      <c r="AC14" s="8" t="str">
        <f aca="false">IF(O14="Y",P14,D14)&amp;""</f>
        <v>150p</v>
      </c>
      <c r="AD14" s="8" t="str">
        <f aca="false">IF(O14="Y",Q14,G14)&amp;""</f>
        <v>YAGEO</v>
      </c>
      <c r="AE14" s="8" t="str">
        <f aca="false">IF(O14="Y",R14,H14)&amp;""</f>
        <v>CC0805JRNPO9BN151</v>
      </c>
      <c r="AF14" s="8" t="str">
        <f aca="false">IF(O14="Y",S14,I14)&amp;""</f>
        <v>C107111</v>
      </c>
      <c r="AG14" s="8" t="str">
        <f aca="false">IF(O14="Y",T14,J14)&amp;""</f>
        <v>Extended</v>
      </c>
      <c r="AH14" s="9" t="n">
        <f aca="false">IF(OR(AF14="",Y14&lt;&gt;"Y"),"",INT(IF(O14="Y",V14,L14)/C14))</f>
        <v>46166</v>
      </c>
      <c r="AI14" s="12" t="n">
        <f aca="false">AB14*IF(O14="Y",X14,N14)</f>
        <v>0.405</v>
      </c>
      <c r="AJ14" s="8" t="s">
        <v>105</v>
      </c>
      <c r="AK14" s="8" t="str">
        <f aca="false">IF(AF14="","",HYPERLINK("https://www.lcsc.com/product-detail/"&amp;AF14&amp;".html","open"))</f>
        <v>open</v>
      </c>
    </row>
    <row r="15" customFormat="false" ht="15" hidden="false" customHeight="false" outlineLevel="0" collapsed="false">
      <c r="A15" s="13" t="n">
        <v>8</v>
      </c>
      <c r="B15" s="13" t="s">
        <v>106</v>
      </c>
      <c r="C15" s="13" t="n">
        <v>2</v>
      </c>
      <c r="D15" s="13" t="s">
        <v>107</v>
      </c>
      <c r="E15" s="13" t="s">
        <v>108</v>
      </c>
      <c r="F15" s="13" t="s">
        <v>61</v>
      </c>
      <c r="G15" s="13" t="s">
        <v>62</v>
      </c>
      <c r="H15" s="13" t="s">
        <v>109</v>
      </c>
      <c r="I15" s="13" t="s">
        <v>110</v>
      </c>
      <c r="J15" s="13" t="s">
        <v>92</v>
      </c>
      <c r="K15" s="14" t="n">
        <v>467700</v>
      </c>
      <c r="L15" s="14" t="n">
        <v>494538</v>
      </c>
      <c r="M15" s="13" t="n">
        <v>100</v>
      </c>
      <c r="N15" s="15" t="n">
        <v>0.0184</v>
      </c>
      <c r="O15" s="11" t="s">
        <v>66</v>
      </c>
      <c r="P15" s="13"/>
      <c r="Q15" s="13"/>
      <c r="R15" s="13"/>
      <c r="S15" s="13"/>
      <c r="T15" s="13"/>
      <c r="U15" s="14"/>
      <c r="V15" s="14"/>
      <c r="W15" s="13"/>
      <c r="X15" s="15"/>
      <c r="Y15" s="11" t="s">
        <v>67</v>
      </c>
      <c r="Z15" s="11" t="n">
        <v>0</v>
      </c>
      <c r="AA15" s="13" t="n">
        <f aca="false">IF(Y15="Y",C15*$B$4+Z15,0)</f>
        <v>2</v>
      </c>
      <c r="AB15" s="13" t="n">
        <f aca="false">IF(AA15=0,0,MAX(IF(O15="Y",W15,M15),CEILING(AA15,IF(O15="Y",W15,M15))))</f>
        <v>100</v>
      </c>
      <c r="AC15" s="13" t="str">
        <f aca="false">IF(O15="Y",P15,D15)&amp;""</f>
        <v>10p</v>
      </c>
      <c r="AD15" s="13" t="str">
        <f aca="false">IF(O15="Y",Q15,G15)&amp;""</f>
        <v>YAGEO</v>
      </c>
      <c r="AE15" s="13" t="str">
        <f aca="false">IF(O15="Y",R15,H15)&amp;""</f>
        <v>CC0805JRNPO9BN100</v>
      </c>
      <c r="AF15" s="13" t="str">
        <f aca="false">IF(O15="Y",S15,I15)&amp;""</f>
        <v>C107107</v>
      </c>
      <c r="AG15" s="13" t="str">
        <f aca="false">IF(O15="Y",T15,J15)&amp;""</f>
        <v>Extended</v>
      </c>
      <c r="AH15" s="14" t="n">
        <f aca="false">IF(OR(AF15="",Y15&lt;&gt;"Y"),"",INT(IF(O15="Y",V15,L15)/C15))</f>
        <v>247269</v>
      </c>
      <c r="AI15" s="16" t="n">
        <f aca="false">AB15*IF(O15="Y",X15,N15)</f>
        <v>1.84</v>
      </c>
      <c r="AJ15" s="13"/>
      <c r="AK15" s="13" t="str">
        <f aca="false">IF(AF15="","",HYPERLINK("https://www.lcsc.com/product-detail/"&amp;AF15&amp;".html","open"))</f>
        <v>open</v>
      </c>
    </row>
    <row r="16" customFormat="false" ht="23.85" hidden="false" customHeight="false" outlineLevel="0" collapsed="false">
      <c r="A16" s="8" t="n">
        <v>9</v>
      </c>
      <c r="B16" s="8" t="s">
        <v>111</v>
      </c>
      <c r="C16" s="8" t="n">
        <v>2</v>
      </c>
      <c r="D16" s="8" t="s">
        <v>112</v>
      </c>
      <c r="E16" s="8" t="s">
        <v>113</v>
      </c>
      <c r="F16" s="8" t="s">
        <v>61</v>
      </c>
      <c r="G16" s="8" t="s">
        <v>62</v>
      </c>
      <c r="H16" s="8" t="s">
        <v>114</v>
      </c>
      <c r="I16" s="8" t="s">
        <v>115</v>
      </c>
      <c r="J16" s="8" t="s">
        <v>92</v>
      </c>
      <c r="K16" s="9" t="n">
        <v>45050</v>
      </c>
      <c r="L16" s="9" t="n">
        <v>47387</v>
      </c>
      <c r="M16" s="8" t="n">
        <v>50</v>
      </c>
      <c r="N16" s="10" t="n">
        <v>0.0101</v>
      </c>
      <c r="O16" s="11" t="s">
        <v>66</v>
      </c>
      <c r="P16" s="8"/>
      <c r="Q16" s="8"/>
      <c r="R16" s="8"/>
      <c r="S16" s="8"/>
      <c r="T16" s="8"/>
      <c r="U16" s="9"/>
      <c r="V16" s="9"/>
      <c r="W16" s="8"/>
      <c r="X16" s="10"/>
      <c r="Y16" s="11" t="s">
        <v>67</v>
      </c>
      <c r="Z16" s="11" t="n">
        <v>0</v>
      </c>
      <c r="AA16" s="8" t="n">
        <f aca="false">IF(Y16="Y",C16*$B$4+Z16,0)</f>
        <v>2</v>
      </c>
      <c r="AB16" s="8" t="n">
        <f aca="false">IF(AA16=0,0,MAX(IF(O16="Y",W16,M16),CEILING(AA16,IF(O16="Y",W16,M16))))</f>
        <v>50</v>
      </c>
      <c r="AC16" s="8" t="str">
        <f aca="false">IF(O16="Y",P16,D16)&amp;""</f>
        <v>68p</v>
      </c>
      <c r="AD16" s="8" t="str">
        <f aca="false">IF(O16="Y",Q16,G16)&amp;""</f>
        <v>YAGEO</v>
      </c>
      <c r="AE16" s="8" t="str">
        <f aca="false">IF(O16="Y",R16,H16)&amp;""</f>
        <v>CC0805JRNPO9BN680</v>
      </c>
      <c r="AF16" s="8" t="str">
        <f aca="false">IF(O16="Y",S16,I16)&amp;""</f>
        <v>C107120</v>
      </c>
      <c r="AG16" s="8" t="str">
        <f aca="false">IF(O16="Y",T16,J16)&amp;""</f>
        <v>Extended</v>
      </c>
      <c r="AH16" s="9" t="n">
        <f aca="false">IF(OR(AF16="",Y16&lt;&gt;"Y"),"",INT(IF(O16="Y",V16,L16)/C16))</f>
        <v>23693</v>
      </c>
      <c r="AI16" s="12" t="n">
        <f aca="false">AB16*IF(O16="Y",X16,N16)</f>
        <v>0.505</v>
      </c>
      <c r="AJ16" s="8" t="s">
        <v>116</v>
      </c>
      <c r="AK16" s="8" t="str">
        <f aca="false">IF(AF16="","",HYPERLINK("https://www.lcsc.com/product-detail/"&amp;AF16&amp;".html","open"))</f>
        <v>open</v>
      </c>
    </row>
    <row r="17" customFormat="false" ht="23.85" hidden="false" customHeight="false" outlineLevel="0" collapsed="false">
      <c r="A17" s="13" t="n">
        <v>10</v>
      </c>
      <c r="B17" s="13" t="s">
        <v>117</v>
      </c>
      <c r="C17" s="13" t="n">
        <v>2</v>
      </c>
      <c r="D17" s="13" t="s">
        <v>118</v>
      </c>
      <c r="E17" s="13" t="s">
        <v>119</v>
      </c>
      <c r="F17" s="13" t="s">
        <v>61</v>
      </c>
      <c r="G17" s="13" t="s">
        <v>62</v>
      </c>
      <c r="H17" s="13" t="s">
        <v>120</v>
      </c>
      <c r="I17" s="13" t="s">
        <v>121</v>
      </c>
      <c r="J17" s="13" t="s">
        <v>92</v>
      </c>
      <c r="K17" s="14" t="n">
        <v>15500</v>
      </c>
      <c r="L17" s="14" t="n">
        <v>15534</v>
      </c>
      <c r="M17" s="13" t="n">
        <v>50</v>
      </c>
      <c r="N17" s="15" t="n">
        <v>0.016</v>
      </c>
      <c r="O17" s="11" t="s">
        <v>66</v>
      </c>
      <c r="P17" s="13"/>
      <c r="Q17" s="13"/>
      <c r="R17" s="13"/>
      <c r="S17" s="13"/>
      <c r="T17" s="13"/>
      <c r="U17" s="14"/>
      <c r="V17" s="14"/>
      <c r="W17" s="13"/>
      <c r="X17" s="15"/>
      <c r="Y17" s="11" t="s">
        <v>67</v>
      </c>
      <c r="Z17" s="11" t="n">
        <v>0</v>
      </c>
      <c r="AA17" s="13" t="n">
        <f aca="false">IF(Y17="Y",C17*$B$4+Z17,0)</f>
        <v>2</v>
      </c>
      <c r="AB17" s="13" t="n">
        <f aca="false">IF(AA17=0,0,MAX(IF(O17="Y",W17,M17),CEILING(AA17,IF(O17="Y",W17,M17))))</f>
        <v>50</v>
      </c>
      <c r="AC17" s="13" t="str">
        <f aca="false">IF(O17="Y",P17,D17)&amp;""</f>
        <v>270p</v>
      </c>
      <c r="AD17" s="13" t="str">
        <f aca="false">IF(O17="Y",Q17,G17)&amp;""</f>
        <v>YAGEO</v>
      </c>
      <c r="AE17" s="13" t="str">
        <f aca="false">IF(O17="Y",R17,H17)&amp;""</f>
        <v>CC0805JRNPO0BN271</v>
      </c>
      <c r="AF17" s="13" t="str">
        <f aca="false">IF(O17="Y",S17,I17)&amp;""</f>
        <v>C107106</v>
      </c>
      <c r="AG17" s="13" t="str">
        <f aca="false">IF(O17="Y",T17,J17)&amp;""</f>
        <v>Extended</v>
      </c>
      <c r="AH17" s="14" t="n">
        <f aca="false">IF(OR(AF17="",Y17&lt;&gt;"Y"),"",INT(IF(O17="Y",V17,L17)/C17))</f>
        <v>7767</v>
      </c>
      <c r="AI17" s="16" t="n">
        <f aca="false">AB17*IF(O17="Y",X17,N17)</f>
        <v>0.8</v>
      </c>
      <c r="AJ17" s="13" t="s">
        <v>122</v>
      </c>
      <c r="AK17" s="13" t="str">
        <f aca="false">IF(AF17="","",HYPERLINK("https://www.lcsc.com/product-detail/"&amp;AF17&amp;".html","open"))</f>
        <v>open</v>
      </c>
    </row>
    <row r="18" customFormat="false" ht="23.85" hidden="false" customHeight="false" outlineLevel="0" collapsed="false">
      <c r="A18" s="8" t="n">
        <v>11</v>
      </c>
      <c r="B18" s="8" t="s">
        <v>123</v>
      </c>
      <c r="C18" s="8" t="n">
        <v>3</v>
      </c>
      <c r="D18" s="8" t="s">
        <v>124</v>
      </c>
      <c r="E18" s="8" t="s">
        <v>125</v>
      </c>
      <c r="F18" s="8" t="s">
        <v>61</v>
      </c>
      <c r="G18" s="8" t="s">
        <v>72</v>
      </c>
      <c r="H18" s="8" t="s">
        <v>126</v>
      </c>
      <c r="I18" s="8" t="s">
        <v>127</v>
      </c>
      <c r="J18" s="8" t="s">
        <v>65</v>
      </c>
      <c r="K18" s="9" t="n">
        <v>1512600</v>
      </c>
      <c r="L18" s="9" t="n">
        <v>5574591</v>
      </c>
      <c r="M18" s="8" t="n">
        <v>20</v>
      </c>
      <c r="N18" s="10" t="n">
        <v>0.0798</v>
      </c>
      <c r="O18" s="11" t="s">
        <v>66</v>
      </c>
      <c r="P18" s="8"/>
      <c r="Q18" s="8"/>
      <c r="R18" s="8"/>
      <c r="S18" s="8"/>
      <c r="T18" s="8"/>
      <c r="U18" s="9"/>
      <c r="V18" s="9"/>
      <c r="W18" s="8"/>
      <c r="X18" s="10"/>
      <c r="Y18" s="11" t="s">
        <v>67</v>
      </c>
      <c r="Z18" s="11" t="n">
        <v>0</v>
      </c>
      <c r="AA18" s="8" t="n">
        <f aca="false">IF(Y18="Y",C18*$B$4+Z18,0)</f>
        <v>3</v>
      </c>
      <c r="AB18" s="8" t="n">
        <f aca="false">IF(AA18=0,0,MAX(IF(O18="Y",W18,M18),CEILING(AA18,IF(O18="Y",W18,M18))))</f>
        <v>20</v>
      </c>
      <c r="AC18" s="8" t="str">
        <f aca="false">IF(O18="Y",P18,D18)&amp;""</f>
        <v>10u</v>
      </c>
      <c r="AD18" s="8" t="str">
        <f aca="false">IF(O18="Y",Q18,G18)&amp;""</f>
        <v>Samsung Electro-Mechanics</v>
      </c>
      <c r="AE18" s="8" t="str">
        <f aca="false">IF(O18="Y",R18,H18)&amp;""</f>
        <v>CL21A106KAYNNNE</v>
      </c>
      <c r="AF18" s="8" t="str">
        <f aca="false">IF(O18="Y",S18,I18)&amp;""</f>
        <v>C15850</v>
      </c>
      <c r="AG18" s="8" t="str">
        <f aca="false">IF(O18="Y",T18,J18)&amp;""</f>
        <v>Basic</v>
      </c>
      <c r="AH18" s="9" t="n">
        <f aca="false">IF(OR(AF18="",Y18&lt;&gt;"Y"),"",INT(IF(O18="Y",V18,L18)/C18))</f>
        <v>1858197</v>
      </c>
      <c r="AI18" s="12" t="n">
        <f aca="false">AB18*IF(O18="Y",X18,N18)</f>
        <v>1.596</v>
      </c>
      <c r="AJ18" s="8"/>
      <c r="AK18" s="8" t="str">
        <f aca="false">IF(AF18="","",HYPERLINK("https://www.lcsc.com/product-detail/"&amp;AF18&amp;".html","open"))</f>
        <v>open</v>
      </c>
    </row>
    <row r="19" customFormat="false" ht="23.85" hidden="false" customHeight="false" outlineLevel="0" collapsed="false">
      <c r="A19" s="13" t="n">
        <v>12</v>
      </c>
      <c r="B19" s="13" t="s">
        <v>128</v>
      </c>
      <c r="C19" s="13" t="n">
        <v>4</v>
      </c>
      <c r="D19" s="13" t="s">
        <v>129</v>
      </c>
      <c r="E19" s="13" t="s">
        <v>130</v>
      </c>
      <c r="F19" s="13" t="s">
        <v>61</v>
      </c>
      <c r="G19" s="13" t="s">
        <v>72</v>
      </c>
      <c r="H19" s="13" t="s">
        <v>131</v>
      </c>
      <c r="I19" s="13" t="s">
        <v>132</v>
      </c>
      <c r="J19" s="13" t="s">
        <v>65</v>
      </c>
      <c r="K19" s="14" t="n">
        <v>194170</v>
      </c>
      <c r="L19" s="14" t="n">
        <v>685779</v>
      </c>
      <c r="M19" s="13" t="n">
        <v>10</v>
      </c>
      <c r="N19" s="15" t="n">
        <v>0.0536</v>
      </c>
      <c r="O19" s="11" t="s">
        <v>66</v>
      </c>
      <c r="P19" s="13"/>
      <c r="Q19" s="13"/>
      <c r="R19" s="13"/>
      <c r="S19" s="13"/>
      <c r="T19" s="13"/>
      <c r="U19" s="14"/>
      <c r="V19" s="14"/>
      <c r="W19" s="13"/>
      <c r="X19" s="15"/>
      <c r="Y19" s="11" t="s">
        <v>67</v>
      </c>
      <c r="Z19" s="11" t="n">
        <v>0</v>
      </c>
      <c r="AA19" s="13" t="n">
        <f aca="false">IF(Y19="Y",C19*$B$4+Z19,0)</f>
        <v>4</v>
      </c>
      <c r="AB19" s="13" t="n">
        <f aca="false">IF(AA19=0,0,MAX(IF(O19="Y",W19,M19),CEILING(AA19,IF(O19="Y",W19,M19))))</f>
        <v>10</v>
      </c>
      <c r="AC19" s="13" t="str">
        <f aca="false">IF(O19="Y",P19,D19)&amp;""</f>
        <v>2.2u</v>
      </c>
      <c r="AD19" s="13" t="str">
        <f aca="false">IF(O19="Y",Q19,G19)&amp;""</f>
        <v>Samsung Electro-Mechanics</v>
      </c>
      <c r="AE19" s="13" t="str">
        <f aca="false">IF(O19="Y",R19,H19)&amp;""</f>
        <v>CL21A225KBQNNNE</v>
      </c>
      <c r="AF19" s="13" t="str">
        <f aca="false">IF(O19="Y",S19,I19)&amp;""</f>
        <v>C377773</v>
      </c>
      <c r="AG19" s="13" t="str">
        <f aca="false">IF(O19="Y",T19,J19)&amp;""</f>
        <v>Basic</v>
      </c>
      <c r="AH19" s="14" t="n">
        <f aca="false">IF(OR(AF19="",Y19&lt;&gt;"Y"),"",INT(IF(O19="Y",V19,L19)/C19))</f>
        <v>171444</v>
      </c>
      <c r="AI19" s="16" t="n">
        <f aca="false">AB19*IF(O19="Y",X19,N19)</f>
        <v>0.536</v>
      </c>
      <c r="AJ19" s="13"/>
      <c r="AK19" s="13" t="str">
        <f aca="false">IF(AF19="","",HYPERLINK("https://www.lcsc.com/product-detail/"&amp;AF19&amp;".html","open"))</f>
        <v>open</v>
      </c>
    </row>
    <row r="20" customFormat="false" ht="15" hidden="false" customHeight="false" outlineLevel="0" collapsed="false">
      <c r="A20" s="8" t="n">
        <v>13</v>
      </c>
      <c r="B20" s="8" t="s">
        <v>133</v>
      </c>
      <c r="C20" s="8" t="n">
        <v>2</v>
      </c>
      <c r="D20" s="8" t="s">
        <v>134</v>
      </c>
      <c r="E20" s="8" t="s">
        <v>135</v>
      </c>
      <c r="F20" s="8" t="s">
        <v>61</v>
      </c>
      <c r="G20" s="8" t="s">
        <v>136</v>
      </c>
      <c r="H20" s="8" t="s">
        <v>137</v>
      </c>
      <c r="I20" s="8" t="s">
        <v>138</v>
      </c>
      <c r="J20" s="8" t="s">
        <v>65</v>
      </c>
      <c r="K20" s="9" t="n">
        <v>4428400</v>
      </c>
      <c r="L20" s="9" t="n">
        <v>5303999</v>
      </c>
      <c r="M20" s="8" t="n">
        <v>50</v>
      </c>
      <c r="N20" s="10" t="n">
        <v>0.0135</v>
      </c>
      <c r="O20" s="11" t="s">
        <v>66</v>
      </c>
      <c r="P20" s="8"/>
      <c r="Q20" s="8"/>
      <c r="R20" s="8"/>
      <c r="S20" s="8"/>
      <c r="T20" s="8"/>
      <c r="U20" s="9"/>
      <c r="V20" s="9"/>
      <c r="W20" s="8"/>
      <c r="X20" s="10"/>
      <c r="Y20" s="11" t="s">
        <v>67</v>
      </c>
      <c r="Z20" s="11" t="n">
        <v>0</v>
      </c>
      <c r="AA20" s="8" t="n">
        <f aca="false">IF(Y20="Y",C20*$B$4+Z20,0)</f>
        <v>2</v>
      </c>
      <c r="AB20" s="8" t="n">
        <f aca="false">IF(AA20=0,0,MAX(IF(O20="Y",W20,M20),CEILING(AA20,IF(O20="Y",W20,M20))))</f>
        <v>50</v>
      </c>
      <c r="AC20" s="8" t="str">
        <f aca="false">IF(O20="Y",P20,D20)&amp;""</f>
        <v>RED</v>
      </c>
      <c r="AD20" s="8" t="str">
        <f aca="false">IF(O20="Y",Q20,G20)&amp;""</f>
        <v>NATIONSTAR</v>
      </c>
      <c r="AE20" s="8" t="str">
        <f aca="false">IF(O20="Y",R20,H20)&amp;""</f>
        <v>NCD0805R1</v>
      </c>
      <c r="AF20" s="8" t="str">
        <f aca="false">IF(O20="Y",S20,I20)&amp;""</f>
        <v>C84256</v>
      </c>
      <c r="AG20" s="8" t="str">
        <f aca="false">IF(O20="Y",T20,J20)&amp;""</f>
        <v>Basic</v>
      </c>
      <c r="AH20" s="9" t="n">
        <f aca="false">IF(OR(AF20="",Y20&lt;&gt;"Y"),"",INT(IF(O20="Y",V20,L20)/C20))</f>
        <v>2651999</v>
      </c>
      <c r="AI20" s="12" t="n">
        <f aca="false">AB20*IF(O20="Y",X20,N20)</f>
        <v>0.675</v>
      </c>
      <c r="AJ20" s="8" t="s">
        <v>139</v>
      </c>
      <c r="AK20" s="8" t="str">
        <f aca="false">IF(AF20="","",HYPERLINK("https://www.lcsc.com/product-detail/"&amp;AF20&amp;".html","open"))</f>
        <v>open</v>
      </c>
    </row>
    <row r="21" customFormat="false" ht="23.85" hidden="false" customHeight="false" outlineLevel="0" collapsed="false">
      <c r="A21" s="13" t="n">
        <v>14</v>
      </c>
      <c r="B21" s="13" t="s">
        <v>140</v>
      </c>
      <c r="C21" s="13" t="n">
        <v>3</v>
      </c>
      <c r="D21" s="13" t="s">
        <v>141</v>
      </c>
      <c r="E21" s="13" t="s">
        <v>142</v>
      </c>
      <c r="F21" s="13" t="s">
        <v>61</v>
      </c>
      <c r="G21" s="13" t="s">
        <v>143</v>
      </c>
      <c r="H21" s="13" t="s">
        <v>144</v>
      </c>
      <c r="I21" s="13" t="s">
        <v>145</v>
      </c>
      <c r="J21" s="13" t="s">
        <v>92</v>
      </c>
      <c r="K21" s="14" t="n">
        <v>254200</v>
      </c>
      <c r="L21" s="14" t="n">
        <v>254219</v>
      </c>
      <c r="M21" s="13" t="n">
        <v>20</v>
      </c>
      <c r="N21" s="15" t="n">
        <v>0.0315</v>
      </c>
      <c r="O21" s="11" t="s">
        <v>66</v>
      </c>
      <c r="P21" s="13"/>
      <c r="Q21" s="13"/>
      <c r="R21" s="13"/>
      <c r="S21" s="13"/>
      <c r="T21" s="13"/>
      <c r="U21" s="14"/>
      <c r="V21" s="14"/>
      <c r="W21" s="13"/>
      <c r="X21" s="15"/>
      <c r="Y21" s="11" t="s">
        <v>67</v>
      </c>
      <c r="Z21" s="11" t="n">
        <v>0</v>
      </c>
      <c r="AA21" s="13" t="n">
        <f aca="false">IF(Y21="Y",C21*$B$4+Z21,0)</f>
        <v>3</v>
      </c>
      <c r="AB21" s="13" t="n">
        <f aca="false">IF(AA21=0,0,MAX(IF(O21="Y",W21,M21),CEILING(AA21,IF(O21="Y",W21,M21))))</f>
        <v>20</v>
      </c>
      <c r="AC21" s="13" t="str">
        <f aca="false">IF(O21="Y",P21,D21)&amp;""</f>
        <v>GREEN</v>
      </c>
      <c r="AD21" s="13" t="str">
        <f aca="false">IF(O21="Y",Q21,G21)&amp;""</f>
        <v>LITEON</v>
      </c>
      <c r="AE21" s="13" t="str">
        <f aca="false">IF(O21="Y",R21,H21)&amp;""</f>
        <v>LTST-C170KGKT</v>
      </c>
      <c r="AF21" s="13" t="str">
        <f aca="false">IF(O21="Y",S21,I21)&amp;""</f>
        <v>C98221</v>
      </c>
      <c r="AG21" s="13" t="str">
        <f aca="false">IF(O21="Y",T21,J21)&amp;""</f>
        <v>Extended</v>
      </c>
      <c r="AH21" s="14" t="n">
        <f aca="false">IF(OR(AF21="",Y21&lt;&gt;"Y"),"",INT(IF(O21="Y",V21,L21)/C21))</f>
        <v>84739</v>
      </c>
      <c r="AI21" s="16" t="n">
        <f aca="false">AB21*IF(O21="Y",X21,N21)</f>
        <v>0.63</v>
      </c>
      <c r="AJ21" s="13" t="s">
        <v>146</v>
      </c>
      <c r="AK21" s="13" t="str">
        <f aca="false">IF(AF21="","",HYPERLINK("https://www.lcsc.com/product-detail/"&amp;AF21&amp;".html","open"))</f>
        <v>open</v>
      </c>
    </row>
    <row r="22" customFormat="false" ht="23.85" hidden="false" customHeight="false" outlineLevel="0" collapsed="false">
      <c r="A22" s="8" t="n">
        <v>15</v>
      </c>
      <c r="B22" s="8" t="s">
        <v>147</v>
      </c>
      <c r="C22" s="8" t="n">
        <v>1</v>
      </c>
      <c r="D22" s="8" t="s">
        <v>148</v>
      </c>
      <c r="E22" s="8" t="s">
        <v>149</v>
      </c>
      <c r="F22" s="8" t="s">
        <v>150</v>
      </c>
      <c r="G22" s="8" t="s">
        <v>151</v>
      </c>
      <c r="H22" s="8" t="s">
        <v>148</v>
      </c>
      <c r="I22" s="8" t="s">
        <v>152</v>
      </c>
      <c r="J22" s="8" t="s">
        <v>65</v>
      </c>
      <c r="K22" s="9" t="n">
        <v>890450</v>
      </c>
      <c r="L22" s="9" t="n">
        <v>1205634</v>
      </c>
      <c r="M22" s="8" t="n">
        <v>50</v>
      </c>
      <c r="N22" s="10" t="n">
        <v>0.0192</v>
      </c>
      <c r="O22" s="11" t="s">
        <v>66</v>
      </c>
      <c r="P22" s="8"/>
      <c r="Q22" s="8"/>
      <c r="R22" s="8"/>
      <c r="S22" s="8"/>
      <c r="T22" s="8"/>
      <c r="U22" s="9"/>
      <c r="V22" s="9"/>
      <c r="W22" s="8"/>
      <c r="X22" s="10"/>
      <c r="Y22" s="11" t="s">
        <v>67</v>
      </c>
      <c r="Z22" s="11" t="n">
        <v>0</v>
      </c>
      <c r="AA22" s="8" t="n">
        <f aca="false">IF(Y22="Y",C22*$B$4+Z22,0)</f>
        <v>1</v>
      </c>
      <c r="AB22" s="8" t="n">
        <f aca="false">IF(AA22=0,0,MAX(IF(O22="Y",W22,M22),CEILING(AA22,IF(O22="Y",W22,M22))))</f>
        <v>50</v>
      </c>
      <c r="AC22" s="8" t="str">
        <f aca="false">IF(O22="Y",P22,D22)&amp;""</f>
        <v>SS14</v>
      </c>
      <c r="AD22" s="8" t="str">
        <f aca="false">IF(O22="Y",Q22,G22)&amp;""</f>
        <v>MDD(Microdiode Semiconductor)</v>
      </c>
      <c r="AE22" s="8" t="str">
        <f aca="false">IF(O22="Y",R22,H22)&amp;""</f>
        <v>SS14</v>
      </c>
      <c r="AF22" s="8" t="str">
        <f aca="false">IF(O22="Y",S22,I22)&amp;""</f>
        <v>C2480</v>
      </c>
      <c r="AG22" s="8" t="str">
        <f aca="false">IF(O22="Y",T22,J22)&amp;""</f>
        <v>Basic</v>
      </c>
      <c r="AH22" s="9" t="n">
        <f aca="false">IF(OR(AF22="",Y22&lt;&gt;"Y"),"",INT(IF(O22="Y",V22,L22)/C22))</f>
        <v>1205634</v>
      </c>
      <c r="AI22" s="12" t="n">
        <f aca="false">AB22*IF(O22="Y",X22,N22)</f>
        <v>0.96</v>
      </c>
      <c r="AJ22" s="8"/>
      <c r="AK22" s="8" t="str">
        <f aca="false">IF(AF22="","",HYPERLINK("https://www.lcsc.com/product-detail/"&amp;AF22&amp;".html","open"))</f>
        <v>open</v>
      </c>
    </row>
    <row r="23" customFormat="false" ht="23.85" hidden="false" customHeight="false" outlineLevel="0" collapsed="false">
      <c r="A23" s="13" t="n">
        <v>16</v>
      </c>
      <c r="B23" s="13" t="s">
        <v>153</v>
      </c>
      <c r="C23" s="13" t="n">
        <v>2</v>
      </c>
      <c r="D23" s="13" t="s">
        <v>154</v>
      </c>
      <c r="E23" s="13" t="s">
        <v>155</v>
      </c>
      <c r="F23" s="13" t="s">
        <v>156</v>
      </c>
      <c r="G23" s="13" t="s">
        <v>157</v>
      </c>
      <c r="H23" s="13" t="s">
        <v>158</v>
      </c>
      <c r="I23" s="13" t="s">
        <v>159</v>
      </c>
      <c r="J23" s="13" t="s">
        <v>92</v>
      </c>
      <c r="K23" s="14" t="n">
        <v>1475200</v>
      </c>
      <c r="L23" s="14" t="n">
        <v>1493001</v>
      </c>
      <c r="M23" s="13" t="n">
        <v>100</v>
      </c>
      <c r="N23" s="15" t="n">
        <v>0.0099</v>
      </c>
      <c r="O23" s="11" t="s">
        <v>66</v>
      </c>
      <c r="P23" s="13"/>
      <c r="Q23" s="13"/>
      <c r="R23" s="13"/>
      <c r="S23" s="13"/>
      <c r="T23" s="13"/>
      <c r="U23" s="14"/>
      <c r="V23" s="14"/>
      <c r="W23" s="13"/>
      <c r="X23" s="15"/>
      <c r="Y23" s="11" t="s">
        <v>67</v>
      </c>
      <c r="Z23" s="11" t="n">
        <v>0</v>
      </c>
      <c r="AA23" s="13" t="n">
        <f aca="false">IF(Y23="Y",C23*$B$4+Z23,0)</f>
        <v>2</v>
      </c>
      <c r="AB23" s="13" t="n">
        <f aca="false">IF(AA23=0,0,MAX(IF(O23="Y",W23,M23),CEILING(AA23,IF(O23="Y",W23,M23))))</f>
        <v>100</v>
      </c>
      <c r="AC23" s="13" t="str">
        <f aca="false">IF(O23="Y",P23,D23)&amp;""</f>
        <v>600R@100MHz</v>
      </c>
      <c r="AD23" s="13" t="str">
        <f aca="false">IF(O23="Y",Q23,G23)&amp;""</f>
        <v>muRata</v>
      </c>
      <c r="AE23" s="13" t="str">
        <f aca="false">IF(O23="Y",R23,H23)&amp;""</f>
        <v>BLM15AG601SN1D</v>
      </c>
      <c r="AF23" s="13" t="str">
        <f aca="false">IF(O23="Y",S23,I23)&amp;""</f>
        <v>C76884</v>
      </c>
      <c r="AG23" s="13" t="str">
        <f aca="false">IF(O23="Y",T23,J23)&amp;""</f>
        <v>Extended</v>
      </c>
      <c r="AH23" s="14" t="n">
        <f aca="false">IF(OR(AF23="",Y23&lt;&gt;"Y"),"",INT(IF(O23="Y",V23,L23)/C23))</f>
        <v>746500</v>
      </c>
      <c r="AI23" s="16" t="n">
        <f aca="false">AB23*IF(O23="Y",X23,N23)</f>
        <v>0.99</v>
      </c>
      <c r="AJ23" s="13"/>
      <c r="AK23" s="13" t="str">
        <f aca="false">IF(AF23="","",HYPERLINK("https://www.lcsc.com/product-detail/"&amp;AF23&amp;".html","open"))</f>
        <v>open</v>
      </c>
    </row>
    <row r="24" customFormat="false" ht="23.85" hidden="false" customHeight="false" outlineLevel="0" collapsed="false">
      <c r="A24" s="8" t="n">
        <v>17</v>
      </c>
      <c r="B24" s="8" t="s">
        <v>160</v>
      </c>
      <c r="C24" s="8" t="n">
        <v>1</v>
      </c>
      <c r="D24" s="8" t="s">
        <v>161</v>
      </c>
      <c r="E24" s="8" t="s">
        <v>162</v>
      </c>
      <c r="F24" s="8" t="s">
        <v>163</v>
      </c>
      <c r="G24" s="8" t="s">
        <v>164</v>
      </c>
      <c r="H24" s="8" t="s">
        <v>165</v>
      </c>
      <c r="I24" s="8" t="s">
        <v>166</v>
      </c>
      <c r="J24" s="8" t="s">
        <v>92</v>
      </c>
      <c r="K24" s="9" t="n">
        <v>0</v>
      </c>
      <c r="L24" s="9" t="n">
        <v>710</v>
      </c>
      <c r="M24" s="8" t="n">
        <v>1</v>
      </c>
      <c r="N24" s="10" t="n">
        <v>1.4914</v>
      </c>
      <c r="O24" s="11" t="s">
        <v>66</v>
      </c>
      <c r="P24" s="8"/>
      <c r="Q24" s="8"/>
      <c r="R24" s="8"/>
      <c r="S24" s="8"/>
      <c r="T24" s="8"/>
      <c r="U24" s="9"/>
      <c r="V24" s="9"/>
      <c r="W24" s="8"/>
      <c r="X24" s="10"/>
      <c r="Y24" s="11" t="s">
        <v>67</v>
      </c>
      <c r="Z24" s="11" t="n">
        <v>0</v>
      </c>
      <c r="AA24" s="8" t="n">
        <f aca="false">IF(Y24="Y",C24*$B$4+Z24,0)</f>
        <v>1</v>
      </c>
      <c r="AB24" s="8" t="n">
        <f aca="false">IF(AA24=0,0,MAX(IF(O24="Y",W24,M24),CEILING(AA24,IF(O24="Y",W24,M24))))</f>
        <v>1</v>
      </c>
      <c r="AC24" s="8" t="str">
        <f aca="false">IF(O24="Y",P24,D24)&amp;""</f>
        <v>USB-C</v>
      </c>
      <c r="AD24" s="8" t="str">
        <f aca="false">IF(O24="Y",Q24,G24)&amp;""</f>
        <v>Global Connector Technology</v>
      </c>
      <c r="AE24" s="8" t="str">
        <f aca="false">IF(O24="Y",R24,H24)&amp;""</f>
        <v>USB4110-GF-A</v>
      </c>
      <c r="AF24" s="8" t="str">
        <f aca="false">IF(O24="Y",S24,I24)&amp;""</f>
        <v>C5143397</v>
      </c>
      <c r="AG24" s="8" t="str">
        <f aca="false">IF(O24="Y",T24,J24)&amp;""</f>
        <v>Extended</v>
      </c>
      <c r="AH24" s="9" t="n">
        <f aca="false">IF(OR(AF24="",Y24&lt;&gt;"Y"),"",INT(IF(O24="Y",V24,L24)/C24))</f>
        <v>710</v>
      </c>
      <c r="AI24" s="12" t="n">
        <f aca="false">AB24*IF(O24="Y",X24,N24)</f>
        <v>1.4914</v>
      </c>
      <c r="AJ24" s="8" t="s">
        <v>167</v>
      </c>
      <c r="AK24" s="8" t="str">
        <f aca="false">IF(AF24="","",HYPERLINK("https://www.lcsc.com/product-detail/"&amp;AF24&amp;".html","open"))</f>
        <v>open</v>
      </c>
    </row>
    <row r="25" customFormat="false" ht="35.05" hidden="false" customHeight="false" outlineLevel="0" collapsed="false">
      <c r="A25" s="13" t="n">
        <v>18</v>
      </c>
      <c r="B25" s="13" t="s">
        <v>168</v>
      </c>
      <c r="C25" s="13" t="n">
        <v>1</v>
      </c>
      <c r="D25" s="13" t="s">
        <v>169</v>
      </c>
      <c r="E25" s="13" t="s">
        <v>170</v>
      </c>
      <c r="F25" s="13" t="s">
        <v>171</v>
      </c>
      <c r="G25" s="13" t="s">
        <v>172</v>
      </c>
      <c r="H25" s="13" t="s">
        <v>173</v>
      </c>
      <c r="I25" s="13" t="s">
        <v>174</v>
      </c>
      <c r="J25" s="13" t="s">
        <v>92</v>
      </c>
      <c r="K25" s="14" t="n">
        <v>28050</v>
      </c>
      <c r="L25" s="14" t="n">
        <v>28059</v>
      </c>
      <c r="M25" s="13" t="n">
        <v>10</v>
      </c>
      <c r="N25" s="15" t="n">
        <v>0.0764</v>
      </c>
      <c r="O25" s="11" t="s">
        <v>66</v>
      </c>
      <c r="P25" s="13"/>
      <c r="Q25" s="13"/>
      <c r="R25" s="13"/>
      <c r="S25" s="13"/>
      <c r="T25" s="13"/>
      <c r="U25" s="14"/>
      <c r="V25" s="14"/>
      <c r="W25" s="13"/>
      <c r="X25" s="15"/>
      <c r="Y25" s="11" t="s">
        <v>67</v>
      </c>
      <c r="Z25" s="11" t="n">
        <v>0</v>
      </c>
      <c r="AA25" s="13" t="n">
        <f aca="false">IF(Y25="Y",C25*$B$4+Z25,0)</f>
        <v>1</v>
      </c>
      <c r="AB25" s="13" t="n">
        <f aca="false">IF(AA25=0,0,MAX(IF(O25="Y",W25,M25),CEILING(AA25,IF(O25="Y",W25,M25))))</f>
        <v>10</v>
      </c>
      <c r="AC25" s="13" t="str">
        <f aca="false">IF(O25="Y",P25,D25)&amp;""</f>
        <v>BATTERY</v>
      </c>
      <c r="AD25" s="13" t="str">
        <f aca="false">IF(O25="Y",Q25,G25)&amp;""</f>
        <v>JST</v>
      </c>
      <c r="AE25" s="13" t="str">
        <f aca="false">IF(O25="Y",R25,H25)&amp;""</f>
        <v>B02B-XASK-1(LF)(SN)</v>
      </c>
      <c r="AF25" s="13" t="str">
        <f aca="false">IF(O25="Y",S25,I25)&amp;""</f>
        <v>C263753</v>
      </c>
      <c r="AG25" s="13" t="str">
        <f aca="false">IF(O25="Y",T25,J25)&amp;""</f>
        <v>Extended</v>
      </c>
      <c r="AH25" s="14" t="n">
        <f aca="false">IF(OR(AF25="",Y25&lt;&gt;"Y"),"",INT(IF(O25="Y",V25,L25)/C25))</f>
        <v>28059</v>
      </c>
      <c r="AI25" s="16" t="n">
        <f aca="false">AB25*IF(O25="Y",X25,N25)</f>
        <v>0.764</v>
      </c>
      <c r="AJ25" s="13" t="s">
        <v>175</v>
      </c>
      <c r="AK25" s="13" t="str">
        <f aca="false">IF(AF25="","",HYPERLINK("https://www.lcsc.com/product-detail/"&amp;AF25&amp;".html","open"))</f>
        <v>open</v>
      </c>
    </row>
    <row r="26" customFormat="false" ht="23.85" hidden="false" customHeight="false" outlineLevel="0" collapsed="false">
      <c r="A26" s="8" t="n">
        <v>19</v>
      </c>
      <c r="B26" s="8" t="s">
        <v>176</v>
      </c>
      <c r="C26" s="8" t="n">
        <v>1</v>
      </c>
      <c r="D26" s="8" t="s">
        <v>177</v>
      </c>
      <c r="E26" s="8" t="s">
        <v>178</v>
      </c>
      <c r="F26" s="8" t="s">
        <v>179</v>
      </c>
      <c r="G26" s="8" t="s">
        <v>180</v>
      </c>
      <c r="H26" s="8" t="s">
        <v>181</v>
      </c>
      <c r="I26" s="8" t="s">
        <v>182</v>
      </c>
      <c r="J26" s="8" t="s">
        <v>92</v>
      </c>
      <c r="K26" s="9" t="n">
        <v>933760</v>
      </c>
      <c r="L26" s="9" t="n">
        <v>1010306</v>
      </c>
      <c r="M26" s="8" t="n">
        <v>20</v>
      </c>
      <c r="N26" s="10" t="n">
        <v>0.0276</v>
      </c>
      <c r="O26" s="11" t="s">
        <v>66</v>
      </c>
      <c r="P26" s="8"/>
      <c r="Q26" s="8"/>
      <c r="R26" s="8"/>
      <c r="S26" s="8"/>
      <c r="T26" s="8"/>
      <c r="U26" s="9"/>
      <c r="V26" s="9"/>
      <c r="W26" s="8"/>
      <c r="X26" s="10"/>
      <c r="Y26" s="11" t="s">
        <v>67</v>
      </c>
      <c r="Z26" s="11" t="n">
        <v>0</v>
      </c>
      <c r="AA26" s="8" t="n">
        <f aca="false">IF(Y26="Y",C26*$B$4+Z26,0)</f>
        <v>1</v>
      </c>
      <c r="AB26" s="8" t="n">
        <f aca="false">IF(AA26=0,0,MAX(IF(O26="Y",W26,M26),CEILING(AA26,IF(O26="Y",W26,M26))))</f>
        <v>20</v>
      </c>
      <c r="AC26" s="8" t="str">
        <f aca="false">IF(O26="Y",P26,D26)&amp;""</f>
        <v>SWD</v>
      </c>
      <c r="AD26" s="8" t="str">
        <f aca="false">IF(O26="Y",Q26,G26)&amp;""</f>
        <v>XFCN</v>
      </c>
      <c r="AE26" s="8" t="str">
        <f aca="false">IF(O26="Y",R26,H26)&amp;""</f>
        <v>PZ254V-11-04P</v>
      </c>
      <c r="AF26" s="8" t="str">
        <f aca="false">IF(O26="Y",S26,I26)&amp;""</f>
        <v>C2691448</v>
      </c>
      <c r="AG26" s="8" t="str">
        <f aca="false">IF(O26="Y",T26,J26)&amp;""</f>
        <v>Extended</v>
      </c>
      <c r="AH26" s="9" t="n">
        <f aca="false">IF(OR(AF26="",Y26&lt;&gt;"Y"),"",INT(IF(O26="Y",V26,L26)/C26))</f>
        <v>1010306</v>
      </c>
      <c r="AI26" s="12" t="n">
        <f aca="false">AB26*IF(O26="Y",X26,N26)</f>
        <v>0.552</v>
      </c>
      <c r="AJ26" s="8" t="s">
        <v>175</v>
      </c>
      <c r="AK26" s="8" t="str">
        <f aca="false">IF(AF26="","",HYPERLINK("https://www.lcsc.com/product-detail/"&amp;AF26&amp;".html","open"))</f>
        <v>open</v>
      </c>
    </row>
    <row r="27" customFormat="false" ht="23.85" hidden="false" customHeight="false" outlineLevel="0" collapsed="false">
      <c r="A27" s="13" t="n">
        <v>20</v>
      </c>
      <c r="B27" s="13" t="s">
        <v>183</v>
      </c>
      <c r="C27" s="13" t="n">
        <v>1</v>
      </c>
      <c r="D27" s="13" t="s">
        <v>184</v>
      </c>
      <c r="E27" s="13" t="s">
        <v>185</v>
      </c>
      <c r="F27" s="13" t="s">
        <v>186</v>
      </c>
      <c r="G27" s="13" t="s">
        <v>180</v>
      </c>
      <c r="H27" s="13" t="s">
        <v>187</v>
      </c>
      <c r="I27" s="13" t="s">
        <v>188</v>
      </c>
      <c r="J27" s="13" t="s">
        <v>92</v>
      </c>
      <c r="K27" s="14" t="n">
        <v>1151250</v>
      </c>
      <c r="L27" s="14" t="n">
        <v>1161591</v>
      </c>
      <c r="M27" s="13" t="n">
        <v>50</v>
      </c>
      <c r="N27" s="15" t="n">
        <v>0.0184</v>
      </c>
      <c r="O27" s="11" t="s">
        <v>66</v>
      </c>
      <c r="P27" s="13"/>
      <c r="Q27" s="13"/>
      <c r="R27" s="13"/>
      <c r="S27" s="13"/>
      <c r="T27" s="13"/>
      <c r="U27" s="14"/>
      <c r="V27" s="14"/>
      <c r="W27" s="13"/>
      <c r="X27" s="15"/>
      <c r="Y27" s="11" t="s">
        <v>67</v>
      </c>
      <c r="Z27" s="11" t="n">
        <v>0</v>
      </c>
      <c r="AA27" s="13" t="n">
        <f aca="false">IF(Y27="Y",C27*$B$4+Z27,0)</f>
        <v>1</v>
      </c>
      <c r="AB27" s="13" t="n">
        <f aca="false">IF(AA27=0,0,MAX(IF(O27="Y",W27,M27),CEILING(AA27,IF(O27="Y",W27,M27))))</f>
        <v>50</v>
      </c>
      <c r="AC27" s="13" t="str">
        <f aca="false">IF(O27="Y",P27,D27)&amp;""</f>
        <v>VIB_MOTOR</v>
      </c>
      <c r="AD27" s="13" t="str">
        <f aca="false">IF(O27="Y",Q27,G27)&amp;""</f>
        <v>XFCN</v>
      </c>
      <c r="AE27" s="13" t="str">
        <f aca="false">IF(O27="Y",R27,H27)&amp;""</f>
        <v>PZ254V-11-02P</v>
      </c>
      <c r="AF27" s="13" t="str">
        <f aca="false">IF(O27="Y",S27,I27)&amp;""</f>
        <v>C492401</v>
      </c>
      <c r="AG27" s="13" t="str">
        <f aca="false">IF(O27="Y",T27,J27)&amp;""</f>
        <v>Extended</v>
      </c>
      <c r="AH27" s="14" t="n">
        <f aca="false">IF(OR(AF27="",Y27&lt;&gt;"Y"),"",INT(IF(O27="Y",V27,L27)/C27))</f>
        <v>1161591</v>
      </c>
      <c r="AI27" s="16" t="n">
        <f aca="false">AB27*IF(O27="Y",X27,N27)</f>
        <v>0.92</v>
      </c>
      <c r="AJ27" s="13" t="s">
        <v>189</v>
      </c>
      <c r="AK27" s="13" t="str">
        <f aca="false">IF(AF27="","",HYPERLINK("https://www.lcsc.com/product-detail/"&amp;AF27&amp;".html","open"))</f>
        <v>open</v>
      </c>
    </row>
    <row r="28" customFormat="false" ht="23.85" hidden="false" customHeight="false" outlineLevel="0" collapsed="false">
      <c r="A28" s="8" t="n">
        <v>21</v>
      </c>
      <c r="B28" s="8" t="s">
        <v>190</v>
      </c>
      <c r="C28" s="8" t="n">
        <v>2</v>
      </c>
      <c r="D28" s="8" t="s">
        <v>191</v>
      </c>
      <c r="E28" s="8" t="s">
        <v>192</v>
      </c>
      <c r="F28" s="8" t="s">
        <v>193</v>
      </c>
      <c r="G28" s="8"/>
      <c r="H28" s="8"/>
      <c r="I28" s="8"/>
      <c r="J28" s="8"/>
      <c r="K28" s="9"/>
      <c r="L28" s="9"/>
      <c r="M28" s="8"/>
      <c r="N28" s="10"/>
      <c r="O28" s="11" t="s">
        <v>66</v>
      </c>
      <c r="P28" s="8"/>
      <c r="Q28" s="8"/>
      <c r="R28" s="8"/>
      <c r="S28" s="8"/>
      <c r="T28" s="8"/>
      <c r="U28" s="9"/>
      <c r="V28" s="9"/>
      <c r="W28" s="8"/>
      <c r="X28" s="10"/>
      <c r="Y28" s="11" t="s">
        <v>66</v>
      </c>
      <c r="Z28" s="11" t="n">
        <v>0</v>
      </c>
      <c r="AA28" s="8" t="n">
        <f aca="false">IF(Y28="Y",C28*$B$4+Z28,0)</f>
        <v>0</v>
      </c>
      <c r="AB28" s="8" t="n">
        <f aca="false">IF(AA28=0,0,MAX(IF(O28="Y",W28,M28),CEILING(AA28,IF(O28="Y",W28,M28))))</f>
        <v>0</v>
      </c>
      <c r="AC28" s="8" t="str">
        <f aca="false">IF(O28="Y",P28,D28)&amp;""</f>
        <v>CSO / CSI</v>
      </c>
      <c r="AD28" s="8" t="str">
        <f aca="false">IF(O28="Y",Q28,G28)&amp;""</f>
        <v/>
      </c>
      <c r="AE28" s="8" t="str">
        <f aca="false">IF(O28="Y",R28,H28)&amp;""</f>
        <v/>
      </c>
      <c r="AF28" s="8" t="str">
        <f aca="false">IF(O28="Y",S28,I28)&amp;""</f>
        <v/>
      </c>
      <c r="AG28" s="8" t="str">
        <f aca="false">IF(O28="Y",T28,J28)&amp;""</f>
        <v/>
      </c>
      <c r="AH28" s="9" t="str">
        <f aca="false">IF(OR(AF28="",Y28&lt;&gt;"Y"),"",INT(IF(O28="Y",V28,L28)/C28))</f>
        <v/>
      </c>
      <c r="AI28" s="12" t="n">
        <f aca="false">AB28*IF(O28="Y",X28,N28)</f>
        <v>0</v>
      </c>
      <c r="AJ28" s="8" t="s">
        <v>194</v>
      </c>
      <c r="AK28" s="8" t="str">
        <f aca="false">IF(AF28="","",HYPERLINK("https://www.lcsc.com/product-detail/"&amp;AF28&amp;".html","open"))</f>
        <v/>
      </c>
    </row>
    <row r="29" customFormat="false" ht="23.85" hidden="false" customHeight="false" outlineLevel="0" collapsed="false">
      <c r="A29" s="13" t="n">
        <v>22</v>
      </c>
      <c r="B29" s="13" t="s">
        <v>195</v>
      </c>
      <c r="C29" s="13" t="n">
        <v>1</v>
      </c>
      <c r="D29" s="13" t="s">
        <v>196</v>
      </c>
      <c r="E29" s="13" t="s">
        <v>197</v>
      </c>
      <c r="F29" s="13" t="s">
        <v>198</v>
      </c>
      <c r="G29" s="13" t="s">
        <v>199</v>
      </c>
      <c r="H29" s="13" t="s">
        <v>200</v>
      </c>
      <c r="I29" s="13" t="s">
        <v>201</v>
      </c>
      <c r="J29" s="13" t="s">
        <v>92</v>
      </c>
      <c r="K29" s="14" t="n">
        <v>21230</v>
      </c>
      <c r="L29" s="14" t="n">
        <v>21231</v>
      </c>
      <c r="M29" s="13" t="n">
        <v>5</v>
      </c>
      <c r="N29" s="15" t="n">
        <v>0.113</v>
      </c>
      <c r="O29" s="11" t="s">
        <v>66</v>
      </c>
      <c r="P29" s="13"/>
      <c r="Q29" s="13"/>
      <c r="R29" s="13"/>
      <c r="S29" s="13"/>
      <c r="T29" s="13"/>
      <c r="U29" s="14"/>
      <c r="V29" s="14"/>
      <c r="W29" s="13"/>
      <c r="X29" s="15"/>
      <c r="Y29" s="11" t="s">
        <v>67</v>
      </c>
      <c r="Z29" s="11" t="n">
        <v>0</v>
      </c>
      <c r="AA29" s="13" t="n">
        <f aca="false">IF(Y29="Y",C29*$B$4+Z29,0)</f>
        <v>1</v>
      </c>
      <c r="AB29" s="13" t="n">
        <f aca="false">IF(AA29=0,0,MAX(IF(O29="Y",W29,M29),CEILING(AA29,IF(O29="Y",W29,M29))))</f>
        <v>5</v>
      </c>
      <c r="AC29" s="13" t="str">
        <f aca="false">IF(O29="Y",P29,D29)&amp;""</f>
        <v>PN532</v>
      </c>
      <c r="AD29" s="13" t="str">
        <f aca="false">IF(O29="Y",Q29,G29)&amp;""</f>
        <v>JXTCONN</v>
      </c>
      <c r="AE29" s="13" t="str">
        <f aca="false">IF(O29="Y",R29,H29)&amp;""</f>
        <v>PM2.54-1X8PM-H85</v>
      </c>
      <c r="AF29" s="13" t="str">
        <f aca="false">IF(O29="Y",S29,I29)&amp;""</f>
        <v>C42431840</v>
      </c>
      <c r="AG29" s="13" t="str">
        <f aca="false">IF(O29="Y",T29,J29)&amp;""</f>
        <v>Extended</v>
      </c>
      <c r="AH29" s="14" t="n">
        <f aca="false">IF(OR(AF29="",Y29&lt;&gt;"Y"),"",INT(IF(O29="Y",V29,L29)/C29))</f>
        <v>21231</v>
      </c>
      <c r="AI29" s="16" t="n">
        <f aca="false">AB29*IF(O29="Y",X29,N29)</f>
        <v>0.565</v>
      </c>
      <c r="AJ29" s="13" t="s">
        <v>202</v>
      </c>
      <c r="AK29" s="13" t="str">
        <f aca="false">IF(AF29="","",HYPERLINK("https://www.lcsc.com/product-detail/"&amp;AF29&amp;".html","open"))</f>
        <v>open</v>
      </c>
    </row>
    <row r="30" customFormat="false" ht="35.05" hidden="false" customHeight="false" outlineLevel="0" collapsed="false">
      <c r="A30" s="8" t="n">
        <v>23</v>
      </c>
      <c r="B30" s="8" t="s">
        <v>203</v>
      </c>
      <c r="C30" s="8" t="n">
        <v>2</v>
      </c>
      <c r="D30" s="8" t="s">
        <v>204</v>
      </c>
      <c r="E30" s="8" t="s">
        <v>205</v>
      </c>
      <c r="F30" s="8" t="s">
        <v>61</v>
      </c>
      <c r="G30" s="8" t="s">
        <v>157</v>
      </c>
      <c r="H30" s="8" t="s">
        <v>206</v>
      </c>
      <c r="I30" s="8" t="s">
        <v>207</v>
      </c>
      <c r="J30" s="8" t="s">
        <v>92</v>
      </c>
      <c r="K30" s="9" t="n">
        <v>4980</v>
      </c>
      <c r="L30" s="9" t="n">
        <v>4980</v>
      </c>
      <c r="M30" s="8" t="n">
        <v>5</v>
      </c>
      <c r="N30" s="10" t="n">
        <v>0.1242</v>
      </c>
      <c r="O30" s="11" t="s">
        <v>66</v>
      </c>
      <c r="P30" s="8"/>
      <c r="Q30" s="8"/>
      <c r="R30" s="8"/>
      <c r="S30" s="8"/>
      <c r="T30" s="8"/>
      <c r="U30" s="9"/>
      <c r="V30" s="9"/>
      <c r="W30" s="8"/>
      <c r="X30" s="10"/>
      <c r="Y30" s="11" t="s">
        <v>67</v>
      </c>
      <c r="Z30" s="11" t="n">
        <v>0</v>
      </c>
      <c r="AA30" s="8" t="n">
        <f aca="false">IF(Y30="Y",C30*$B$4+Z30,0)</f>
        <v>2</v>
      </c>
      <c r="AB30" s="8" t="n">
        <f aca="false">IF(AA30=0,0,MAX(IF(O30="Y",W30,M30),CEILING(AA30,IF(O30="Y",W30,M30))))</f>
        <v>5</v>
      </c>
      <c r="AC30" s="8" t="str">
        <f aca="false">IF(O30="Y",P30,D30)&amp;""</f>
        <v>470nH</v>
      </c>
      <c r="AD30" s="8" t="str">
        <f aca="false">IF(O30="Y",Q30,G30)&amp;""</f>
        <v>muRata</v>
      </c>
      <c r="AE30" s="8" t="str">
        <f aca="false">IF(O30="Y",R30,H30)&amp;""</f>
        <v>LQW2BASR47J00L</v>
      </c>
      <c r="AF30" s="8" t="str">
        <f aca="false">IF(O30="Y",S30,I30)&amp;""</f>
        <v>C337959</v>
      </c>
      <c r="AG30" s="8" t="str">
        <f aca="false">IF(O30="Y",T30,J30)&amp;""</f>
        <v>Extended</v>
      </c>
      <c r="AH30" s="9" t="n">
        <f aca="false">IF(OR(AF30="",Y30&lt;&gt;"Y"),"",INT(IF(O30="Y",V30,L30)/C30))</f>
        <v>2490</v>
      </c>
      <c r="AI30" s="12" t="n">
        <f aca="false">AB30*IF(O30="Y",X30,N30)</f>
        <v>0.621</v>
      </c>
      <c r="AJ30" s="8" t="s">
        <v>208</v>
      </c>
      <c r="AK30" s="8" t="str">
        <f aca="false">IF(AF30="","",HYPERLINK("https://www.lcsc.com/product-detail/"&amp;AF30&amp;".html","open"))</f>
        <v>open</v>
      </c>
    </row>
    <row r="31" customFormat="false" ht="15" hidden="false" customHeight="false" outlineLevel="0" collapsed="false">
      <c r="A31" s="13" t="n">
        <v>24</v>
      </c>
      <c r="B31" s="13" t="s">
        <v>209</v>
      </c>
      <c r="C31" s="13" t="n">
        <v>1</v>
      </c>
      <c r="D31" s="13" t="s">
        <v>210</v>
      </c>
      <c r="E31" s="13" t="s">
        <v>211</v>
      </c>
      <c r="F31" s="13" t="s">
        <v>212</v>
      </c>
      <c r="G31" s="13" t="s">
        <v>213</v>
      </c>
      <c r="H31" s="13" t="s">
        <v>210</v>
      </c>
      <c r="I31" s="13" t="s">
        <v>214</v>
      </c>
      <c r="J31" s="13" t="s">
        <v>65</v>
      </c>
      <c r="K31" s="14" t="n">
        <v>681455</v>
      </c>
      <c r="L31" s="14" t="n">
        <v>1074077</v>
      </c>
      <c r="M31" s="13" t="n">
        <v>5</v>
      </c>
      <c r="N31" s="15" t="n">
        <v>0.0853</v>
      </c>
      <c r="O31" s="11" t="s">
        <v>66</v>
      </c>
      <c r="P31" s="13"/>
      <c r="Q31" s="13"/>
      <c r="R31" s="13"/>
      <c r="S31" s="13"/>
      <c r="T31" s="13"/>
      <c r="U31" s="14"/>
      <c r="V31" s="14"/>
      <c r="W31" s="13"/>
      <c r="X31" s="15"/>
      <c r="Y31" s="11" t="s">
        <v>67</v>
      </c>
      <c r="Z31" s="11" t="n">
        <v>0</v>
      </c>
      <c r="AA31" s="13" t="n">
        <f aca="false">IF(Y31="Y",C31*$B$4+Z31,0)</f>
        <v>1</v>
      </c>
      <c r="AB31" s="13" t="n">
        <f aca="false">IF(AA31=0,0,MAX(IF(O31="Y",W31,M31),CEILING(AA31,IF(O31="Y",W31,M31))))</f>
        <v>5</v>
      </c>
      <c r="AC31" s="13" t="str">
        <f aca="false">IF(O31="Y",P31,D31)&amp;""</f>
        <v>AO3400A</v>
      </c>
      <c r="AD31" s="13" t="str">
        <f aca="false">IF(O31="Y",Q31,G31)&amp;""</f>
        <v>AOS</v>
      </c>
      <c r="AE31" s="13" t="str">
        <f aca="false">IF(O31="Y",R31,H31)&amp;""</f>
        <v>AO3400A</v>
      </c>
      <c r="AF31" s="13" t="str">
        <f aca="false">IF(O31="Y",S31,I31)&amp;""</f>
        <v>C20917</v>
      </c>
      <c r="AG31" s="13" t="str">
        <f aca="false">IF(O31="Y",T31,J31)&amp;""</f>
        <v>Basic</v>
      </c>
      <c r="AH31" s="14" t="n">
        <f aca="false">IF(OR(AF31="",Y31&lt;&gt;"Y"),"",INT(IF(O31="Y",V31,L31)/C31))</f>
        <v>1074077</v>
      </c>
      <c r="AI31" s="16" t="n">
        <f aca="false">AB31*IF(O31="Y",X31,N31)</f>
        <v>0.4265</v>
      </c>
      <c r="AJ31" s="13"/>
      <c r="AK31" s="13" t="str">
        <f aca="false">IF(AF31="","",HYPERLINK("https://www.lcsc.com/product-detail/"&amp;AF31&amp;".html","open"))</f>
        <v>open</v>
      </c>
    </row>
    <row r="32" customFormat="false" ht="15" hidden="false" customHeight="false" outlineLevel="0" collapsed="false">
      <c r="A32" s="8" t="n">
        <v>25</v>
      </c>
      <c r="B32" s="8" t="s">
        <v>215</v>
      </c>
      <c r="C32" s="8" t="n">
        <v>2</v>
      </c>
      <c r="D32" s="8" t="s">
        <v>216</v>
      </c>
      <c r="E32" s="8" t="s">
        <v>217</v>
      </c>
      <c r="F32" s="8" t="s">
        <v>61</v>
      </c>
      <c r="G32" s="8" t="s">
        <v>218</v>
      </c>
      <c r="H32" s="8" t="s">
        <v>219</v>
      </c>
      <c r="I32" s="8" t="s">
        <v>220</v>
      </c>
      <c r="J32" s="8" t="s">
        <v>65</v>
      </c>
      <c r="K32" s="9" t="n">
        <v>2477700</v>
      </c>
      <c r="L32" s="9" t="n">
        <v>3573872</v>
      </c>
      <c r="M32" s="8" t="n">
        <v>100</v>
      </c>
      <c r="N32" s="10" t="n">
        <v>0.0056</v>
      </c>
      <c r="O32" s="11" t="s">
        <v>66</v>
      </c>
      <c r="P32" s="8"/>
      <c r="Q32" s="8"/>
      <c r="R32" s="8"/>
      <c r="S32" s="8"/>
      <c r="T32" s="8"/>
      <c r="U32" s="9"/>
      <c r="V32" s="9"/>
      <c r="W32" s="8"/>
      <c r="X32" s="10"/>
      <c r="Y32" s="11" t="s">
        <v>67</v>
      </c>
      <c r="Z32" s="11" t="n">
        <v>0</v>
      </c>
      <c r="AA32" s="8" t="n">
        <f aca="false">IF(Y32="Y",C32*$B$4+Z32,0)</f>
        <v>2</v>
      </c>
      <c r="AB32" s="8" t="n">
        <f aca="false">IF(AA32=0,0,MAX(IF(O32="Y",W32,M32),CEILING(AA32,IF(O32="Y",W32,M32))))</f>
        <v>100</v>
      </c>
      <c r="AC32" s="8" t="str">
        <f aca="false">IF(O32="Y",P32,D32)&amp;""</f>
        <v>5.1k</v>
      </c>
      <c r="AD32" s="8" t="str">
        <f aca="false">IF(O32="Y",Q32,G32)&amp;""</f>
        <v>UNI-ROYAL</v>
      </c>
      <c r="AE32" s="8" t="str">
        <f aca="false">IF(O32="Y",R32,H32)&amp;""</f>
        <v>0805W8F5101T5E</v>
      </c>
      <c r="AF32" s="8" t="str">
        <f aca="false">IF(O32="Y",S32,I32)&amp;""</f>
        <v>C27834</v>
      </c>
      <c r="AG32" s="8" t="str">
        <f aca="false">IF(O32="Y",T32,J32)&amp;""</f>
        <v>Basic</v>
      </c>
      <c r="AH32" s="9" t="n">
        <f aca="false">IF(OR(AF32="",Y32&lt;&gt;"Y"),"",INT(IF(O32="Y",V32,L32)/C32))</f>
        <v>1786936</v>
      </c>
      <c r="AI32" s="12" t="n">
        <f aca="false">AB32*IF(O32="Y",X32,N32)</f>
        <v>0.56</v>
      </c>
      <c r="AJ32" s="8"/>
      <c r="AK32" s="8" t="str">
        <f aca="false">IF(AF32="","",HYPERLINK("https://www.lcsc.com/product-detail/"&amp;AF32&amp;".html","open"))</f>
        <v>open</v>
      </c>
    </row>
    <row r="33" customFormat="false" ht="15" hidden="false" customHeight="false" outlineLevel="0" collapsed="false">
      <c r="A33" s="13" t="n">
        <v>26</v>
      </c>
      <c r="B33" s="13" t="s">
        <v>221</v>
      </c>
      <c r="C33" s="13" t="n">
        <v>5</v>
      </c>
      <c r="D33" s="13" t="s">
        <v>222</v>
      </c>
      <c r="E33" s="13" t="s">
        <v>223</v>
      </c>
      <c r="F33" s="13" t="s">
        <v>61</v>
      </c>
      <c r="G33" s="13" t="s">
        <v>218</v>
      </c>
      <c r="H33" s="13" t="s">
        <v>224</v>
      </c>
      <c r="I33" s="13" t="s">
        <v>225</v>
      </c>
      <c r="J33" s="13" t="s">
        <v>65</v>
      </c>
      <c r="K33" s="14" t="n">
        <v>2280000</v>
      </c>
      <c r="L33" s="14" t="n">
        <v>2879988</v>
      </c>
      <c r="M33" s="13" t="n">
        <v>100</v>
      </c>
      <c r="N33" s="15" t="n">
        <v>0.0049</v>
      </c>
      <c r="O33" s="11" t="s">
        <v>66</v>
      </c>
      <c r="P33" s="13"/>
      <c r="Q33" s="13"/>
      <c r="R33" s="13"/>
      <c r="S33" s="13"/>
      <c r="T33" s="13"/>
      <c r="U33" s="14"/>
      <c r="V33" s="14"/>
      <c r="W33" s="13"/>
      <c r="X33" s="15"/>
      <c r="Y33" s="11" t="s">
        <v>67</v>
      </c>
      <c r="Z33" s="11" t="n">
        <v>0</v>
      </c>
      <c r="AA33" s="13" t="n">
        <f aca="false">IF(Y33="Y",C33*$B$4+Z33,0)</f>
        <v>5</v>
      </c>
      <c r="AB33" s="13" t="n">
        <f aca="false">IF(AA33=0,0,MAX(IF(O33="Y",W33,M33),CEILING(AA33,IF(O33="Y",W33,M33))))</f>
        <v>100</v>
      </c>
      <c r="AC33" s="13" t="str">
        <f aca="false">IF(O33="Y",P33,D33)&amp;""</f>
        <v>470R</v>
      </c>
      <c r="AD33" s="13" t="str">
        <f aca="false">IF(O33="Y",Q33,G33)&amp;""</f>
        <v>UNI-ROYAL</v>
      </c>
      <c r="AE33" s="13" t="str">
        <f aca="false">IF(O33="Y",R33,H33)&amp;""</f>
        <v>0805W8F4700T5E</v>
      </c>
      <c r="AF33" s="13" t="str">
        <f aca="false">IF(O33="Y",S33,I33)&amp;""</f>
        <v>C17710</v>
      </c>
      <c r="AG33" s="13" t="str">
        <f aca="false">IF(O33="Y",T33,J33)&amp;""</f>
        <v>Basic</v>
      </c>
      <c r="AH33" s="14" t="n">
        <f aca="false">IF(OR(AF33="",Y33&lt;&gt;"Y"),"",INT(IF(O33="Y",V33,L33)/C33))</f>
        <v>575997</v>
      </c>
      <c r="AI33" s="16" t="n">
        <f aca="false">AB33*IF(O33="Y",X33,N33)</f>
        <v>0.49</v>
      </c>
      <c r="AJ33" s="13"/>
      <c r="AK33" s="13" t="str">
        <f aca="false">IF(AF33="","",HYPERLINK("https://www.lcsc.com/product-detail/"&amp;AF33&amp;".html","open"))</f>
        <v>open</v>
      </c>
    </row>
    <row r="34" customFormat="false" ht="35.05" hidden="false" customHeight="false" outlineLevel="0" collapsed="false">
      <c r="A34" s="8" t="n">
        <v>27</v>
      </c>
      <c r="B34" s="8" t="s">
        <v>226</v>
      </c>
      <c r="C34" s="8" t="n">
        <v>1</v>
      </c>
      <c r="D34" s="8" t="s">
        <v>227</v>
      </c>
      <c r="E34" s="8" t="s">
        <v>228</v>
      </c>
      <c r="F34" s="8" t="s">
        <v>61</v>
      </c>
      <c r="G34" s="8" t="s">
        <v>218</v>
      </c>
      <c r="H34" s="8" t="s">
        <v>229</v>
      </c>
      <c r="I34" s="8" t="s">
        <v>230</v>
      </c>
      <c r="J34" s="8" t="s">
        <v>65</v>
      </c>
      <c r="K34" s="9" t="n">
        <v>27482800</v>
      </c>
      <c r="L34" s="9" t="n">
        <v>31829451</v>
      </c>
      <c r="M34" s="8" t="n">
        <v>100</v>
      </c>
      <c r="N34" s="10" t="n">
        <v>0.0041</v>
      </c>
      <c r="O34" s="11" t="s">
        <v>66</v>
      </c>
      <c r="P34" s="8" t="s">
        <v>231</v>
      </c>
      <c r="Q34" s="8" t="s">
        <v>218</v>
      </c>
      <c r="R34" s="8" t="s">
        <v>232</v>
      </c>
      <c r="S34" s="8" t="s">
        <v>233</v>
      </c>
      <c r="T34" s="8" t="s">
        <v>65</v>
      </c>
      <c r="U34" s="9" t="n">
        <v>4433300</v>
      </c>
      <c r="V34" s="9" t="n">
        <v>5690088</v>
      </c>
      <c r="W34" s="8" t="n">
        <v>100</v>
      </c>
      <c r="X34" s="10" t="n">
        <v>0.0039</v>
      </c>
      <c r="Y34" s="11" t="s">
        <v>67</v>
      </c>
      <c r="Z34" s="11" t="n">
        <v>0</v>
      </c>
      <c r="AA34" s="8" t="n">
        <f aca="false">IF(Y34="Y",C34*$B$4+Z34,0)</f>
        <v>1</v>
      </c>
      <c r="AB34" s="8" t="n">
        <f aca="false">IF(AA34=0,0,MAX(IF(O34="Y",W34,M34),CEILING(AA34,IF(O34="Y",W34,M34))))</f>
        <v>100</v>
      </c>
      <c r="AC34" s="8" t="str">
        <f aca="false">IF(O34="Y",P34,D34)&amp;""</f>
        <v>1k</v>
      </c>
      <c r="AD34" s="8" t="str">
        <f aca="false">IF(O34="Y",Q34,G34)&amp;""</f>
        <v>UNI-ROYAL</v>
      </c>
      <c r="AE34" s="8" t="str">
        <f aca="false">IF(O34="Y",R34,H34)&amp;""</f>
        <v>0805W8F1001T5E</v>
      </c>
      <c r="AF34" s="8" t="str">
        <f aca="false">IF(O34="Y",S34,I34)&amp;""</f>
        <v>C17513</v>
      </c>
      <c r="AG34" s="8" t="str">
        <f aca="false">IF(O34="Y",T34,J34)&amp;""</f>
        <v>Basic</v>
      </c>
      <c r="AH34" s="9" t="n">
        <f aca="false">IF(OR(AF34="",Y34&lt;&gt;"Y"),"",INT(IF(O34="Y",V34,L34)/C34))</f>
        <v>31829451</v>
      </c>
      <c r="AI34" s="12" t="n">
        <f aca="false">AB34*IF(O34="Y",X34,N34)</f>
        <v>0.41</v>
      </c>
      <c r="AJ34" s="8" t="s">
        <v>234</v>
      </c>
      <c r="AK34" s="8" t="str">
        <f aca="false">IF(AF34="","",HYPERLINK("https://www.lcsc.com/product-detail/"&amp;AF34&amp;".html","open"))</f>
        <v>open</v>
      </c>
    </row>
    <row r="35" customFormat="false" ht="15" hidden="false" customHeight="false" outlineLevel="0" collapsed="false">
      <c r="A35" s="13" t="n">
        <v>28</v>
      </c>
      <c r="B35" s="13" t="s">
        <v>235</v>
      </c>
      <c r="C35" s="13" t="n">
        <v>5</v>
      </c>
      <c r="D35" s="13" t="s">
        <v>236</v>
      </c>
      <c r="E35" s="13" t="s">
        <v>237</v>
      </c>
      <c r="F35" s="13" t="s">
        <v>61</v>
      </c>
      <c r="G35" s="13" t="s">
        <v>218</v>
      </c>
      <c r="H35" s="13" t="s">
        <v>238</v>
      </c>
      <c r="I35" s="13" t="s">
        <v>239</v>
      </c>
      <c r="J35" s="13" t="s">
        <v>65</v>
      </c>
      <c r="K35" s="14" t="n">
        <v>44415400</v>
      </c>
      <c r="L35" s="14" t="n">
        <v>51391005</v>
      </c>
      <c r="M35" s="13" t="n">
        <v>100</v>
      </c>
      <c r="N35" s="15" t="n">
        <v>0.0039</v>
      </c>
      <c r="O35" s="11" t="s">
        <v>66</v>
      </c>
      <c r="P35" s="13"/>
      <c r="Q35" s="13"/>
      <c r="R35" s="13"/>
      <c r="S35" s="13"/>
      <c r="T35" s="13"/>
      <c r="U35" s="14"/>
      <c r="V35" s="14"/>
      <c r="W35" s="13"/>
      <c r="X35" s="15"/>
      <c r="Y35" s="11" t="s">
        <v>67</v>
      </c>
      <c r="Z35" s="11" t="n">
        <v>0</v>
      </c>
      <c r="AA35" s="13" t="n">
        <f aca="false">IF(Y35="Y",C35*$B$4+Z35,0)</f>
        <v>5</v>
      </c>
      <c r="AB35" s="13" t="n">
        <f aca="false">IF(AA35=0,0,MAX(IF(O35="Y",W35,M35),CEILING(AA35,IF(O35="Y",W35,M35))))</f>
        <v>100</v>
      </c>
      <c r="AC35" s="13" t="str">
        <f aca="false">IF(O35="Y",P35,D35)&amp;""</f>
        <v>10k</v>
      </c>
      <c r="AD35" s="13" t="str">
        <f aca="false">IF(O35="Y",Q35,G35)&amp;""</f>
        <v>UNI-ROYAL</v>
      </c>
      <c r="AE35" s="13" t="str">
        <f aca="false">IF(O35="Y",R35,H35)&amp;""</f>
        <v>0805W8F1002T5E</v>
      </c>
      <c r="AF35" s="13" t="str">
        <f aca="false">IF(O35="Y",S35,I35)&amp;""</f>
        <v>C17414</v>
      </c>
      <c r="AG35" s="13" t="str">
        <f aca="false">IF(O35="Y",T35,J35)&amp;""</f>
        <v>Basic</v>
      </c>
      <c r="AH35" s="14" t="n">
        <f aca="false">IF(OR(AF35="",Y35&lt;&gt;"Y"),"",INT(IF(O35="Y",V35,L35)/C35))</f>
        <v>10278201</v>
      </c>
      <c r="AI35" s="16" t="n">
        <f aca="false">AB35*IF(O35="Y",X35,N35)</f>
        <v>0.39</v>
      </c>
      <c r="AJ35" s="13"/>
      <c r="AK35" s="13" t="str">
        <f aca="false">IF(AF35="","",HYPERLINK("https://www.lcsc.com/product-detail/"&amp;AF35&amp;".html","open"))</f>
        <v>open</v>
      </c>
    </row>
    <row r="36" customFormat="false" ht="23.85" hidden="false" customHeight="false" outlineLevel="0" collapsed="false">
      <c r="A36" s="8" t="n">
        <v>29</v>
      </c>
      <c r="B36" s="8" t="s">
        <v>240</v>
      </c>
      <c r="C36" s="8" t="n">
        <v>1</v>
      </c>
      <c r="D36" s="8" t="s">
        <v>241</v>
      </c>
      <c r="E36" s="8" t="s">
        <v>242</v>
      </c>
      <c r="F36" s="8" t="s">
        <v>61</v>
      </c>
      <c r="G36" s="8" t="s">
        <v>218</v>
      </c>
      <c r="H36" s="8" t="s">
        <v>243</v>
      </c>
      <c r="I36" s="8" t="s">
        <v>244</v>
      </c>
      <c r="J36" s="8" t="s">
        <v>65</v>
      </c>
      <c r="K36" s="9" t="n">
        <v>445400</v>
      </c>
      <c r="L36" s="9" t="n">
        <v>832480</v>
      </c>
      <c r="M36" s="8" t="n">
        <v>100</v>
      </c>
      <c r="N36" s="10" t="n">
        <v>0.0035</v>
      </c>
      <c r="O36" s="11" t="s">
        <v>66</v>
      </c>
      <c r="P36" s="8"/>
      <c r="Q36" s="8"/>
      <c r="R36" s="8"/>
      <c r="S36" s="8"/>
      <c r="T36" s="8"/>
      <c r="U36" s="9"/>
      <c r="V36" s="9"/>
      <c r="W36" s="8"/>
      <c r="X36" s="10"/>
      <c r="Y36" s="11" t="s">
        <v>67</v>
      </c>
      <c r="Z36" s="11" t="n">
        <v>0</v>
      </c>
      <c r="AA36" s="8" t="n">
        <f aca="false">IF(Y36="Y",C36*$B$4+Z36,0)</f>
        <v>1</v>
      </c>
      <c r="AB36" s="8" t="n">
        <f aca="false">IF(AA36=0,0,MAX(IF(O36="Y",W36,M36),CEILING(AA36,IF(O36="Y",W36,M36))))</f>
        <v>100</v>
      </c>
      <c r="AC36" s="8" t="str">
        <f aca="false">IF(O36="Y",P36,D36)&amp;""</f>
        <v>1.5k</v>
      </c>
      <c r="AD36" s="8" t="str">
        <f aca="false">IF(O36="Y",Q36,G36)&amp;""</f>
        <v>UNI-ROYAL</v>
      </c>
      <c r="AE36" s="8" t="str">
        <f aca="false">IF(O36="Y",R36,H36)&amp;""</f>
        <v>0805W8F1501T5E</v>
      </c>
      <c r="AF36" s="8" t="str">
        <f aca="false">IF(O36="Y",S36,I36)&amp;""</f>
        <v>C4310</v>
      </c>
      <c r="AG36" s="8" t="str">
        <f aca="false">IF(O36="Y",T36,J36)&amp;""</f>
        <v>Basic</v>
      </c>
      <c r="AH36" s="9" t="n">
        <f aca="false">IF(OR(AF36="",Y36&lt;&gt;"Y"),"",INT(IF(O36="Y",V36,L36)/C36))</f>
        <v>832480</v>
      </c>
      <c r="AI36" s="12" t="n">
        <f aca="false">AB36*IF(O36="Y",X36,N36)</f>
        <v>0.35</v>
      </c>
      <c r="AJ36" s="8" t="s">
        <v>245</v>
      </c>
      <c r="AK36" s="8" t="str">
        <f aca="false">IF(AF36="","",HYPERLINK("https://www.lcsc.com/product-detail/"&amp;AF36&amp;".html","open"))</f>
        <v>open</v>
      </c>
    </row>
    <row r="37" customFormat="false" ht="23.85" hidden="false" customHeight="false" outlineLevel="0" collapsed="false">
      <c r="A37" s="13" t="n">
        <v>30</v>
      </c>
      <c r="B37" s="13" t="s">
        <v>246</v>
      </c>
      <c r="C37" s="13" t="n">
        <v>3</v>
      </c>
      <c r="D37" s="13" t="s">
        <v>247</v>
      </c>
      <c r="E37" s="13" t="s">
        <v>248</v>
      </c>
      <c r="F37" s="13" t="s">
        <v>61</v>
      </c>
      <c r="G37" s="13" t="s">
        <v>218</v>
      </c>
      <c r="H37" s="13" t="s">
        <v>249</v>
      </c>
      <c r="I37" s="13" t="s">
        <v>250</v>
      </c>
      <c r="J37" s="13" t="s">
        <v>92</v>
      </c>
      <c r="K37" s="14" t="n">
        <v>76200</v>
      </c>
      <c r="L37" s="14" t="n">
        <v>77104</v>
      </c>
      <c r="M37" s="13" t="n">
        <v>100</v>
      </c>
      <c r="N37" s="15" t="n">
        <v>0.003</v>
      </c>
      <c r="O37" s="11" t="s">
        <v>66</v>
      </c>
      <c r="P37" s="13"/>
      <c r="Q37" s="13"/>
      <c r="R37" s="13"/>
      <c r="S37" s="13"/>
      <c r="T37" s="13"/>
      <c r="U37" s="14"/>
      <c r="V37" s="14"/>
      <c r="W37" s="13"/>
      <c r="X37" s="15"/>
      <c r="Y37" s="11" t="s">
        <v>67</v>
      </c>
      <c r="Z37" s="11" t="n">
        <v>0</v>
      </c>
      <c r="AA37" s="13" t="n">
        <f aca="false">IF(Y37="Y",C37*$B$4+Z37,0)</f>
        <v>3</v>
      </c>
      <c r="AB37" s="13" t="n">
        <f aca="false">IF(AA37=0,0,MAX(IF(O37="Y",W37,M37),CEILING(AA37,IF(O37="Y",W37,M37))))</f>
        <v>100</v>
      </c>
      <c r="AC37" s="13" t="str">
        <f aca="false">IF(O37="Y",P37,D37)&amp;""</f>
        <v>4.7M</v>
      </c>
      <c r="AD37" s="13" t="str">
        <f aca="false">IF(O37="Y",Q37,G37)&amp;""</f>
        <v>UNI-ROYAL</v>
      </c>
      <c r="AE37" s="13" t="str">
        <f aca="false">IF(O37="Y",R37,H37)&amp;""</f>
        <v>0805W8F4704T5E</v>
      </c>
      <c r="AF37" s="13" t="str">
        <f aca="false">IF(O37="Y",S37,I37)&amp;""</f>
        <v>C17674</v>
      </c>
      <c r="AG37" s="13" t="str">
        <f aca="false">IF(O37="Y",T37,J37)&amp;""</f>
        <v>Extended</v>
      </c>
      <c r="AH37" s="14" t="n">
        <f aca="false">IF(OR(AF37="",Y37&lt;&gt;"Y"),"",INT(IF(O37="Y",V37,L37)/C37))</f>
        <v>25701</v>
      </c>
      <c r="AI37" s="16" t="n">
        <f aca="false">AB37*IF(O37="Y",X37,N37)</f>
        <v>0.3</v>
      </c>
      <c r="AJ37" s="13"/>
      <c r="AK37" s="13" t="str">
        <f aca="false">IF(AF37="","",HYPERLINK("https://www.lcsc.com/product-detail/"&amp;AF37&amp;".html","open"))</f>
        <v>open</v>
      </c>
    </row>
    <row r="38" customFormat="false" ht="23.85" hidden="false" customHeight="false" outlineLevel="0" collapsed="false">
      <c r="A38" s="8" t="n">
        <v>31</v>
      </c>
      <c r="B38" s="8" t="s">
        <v>251</v>
      </c>
      <c r="C38" s="8" t="n">
        <v>1</v>
      </c>
      <c r="D38" s="8" t="s">
        <v>252</v>
      </c>
      <c r="E38" s="8" t="s">
        <v>253</v>
      </c>
      <c r="F38" s="8" t="s">
        <v>61</v>
      </c>
      <c r="G38" s="8" t="s">
        <v>218</v>
      </c>
      <c r="H38" s="8" t="s">
        <v>254</v>
      </c>
      <c r="I38" s="8" t="s">
        <v>255</v>
      </c>
      <c r="J38" s="8" t="s">
        <v>92</v>
      </c>
      <c r="K38" s="9" t="n">
        <v>29200</v>
      </c>
      <c r="L38" s="9" t="n">
        <v>29539</v>
      </c>
      <c r="M38" s="8" t="n">
        <v>100</v>
      </c>
      <c r="N38" s="10" t="n">
        <v>0.0048</v>
      </c>
      <c r="O38" s="11" t="s">
        <v>66</v>
      </c>
      <c r="P38" s="8"/>
      <c r="Q38" s="8"/>
      <c r="R38" s="8"/>
      <c r="S38" s="8"/>
      <c r="T38" s="8"/>
      <c r="U38" s="9"/>
      <c r="V38" s="9"/>
      <c r="W38" s="8"/>
      <c r="X38" s="10"/>
      <c r="Y38" s="11" t="s">
        <v>67</v>
      </c>
      <c r="Z38" s="11" t="n">
        <v>0</v>
      </c>
      <c r="AA38" s="8" t="n">
        <f aca="false">IF(Y38="Y",C38*$B$4+Z38,0)</f>
        <v>1</v>
      </c>
      <c r="AB38" s="8" t="n">
        <f aca="false">IF(AA38=0,0,MAX(IF(O38="Y",W38,M38),CEILING(AA38,IF(O38="Y",W38,M38))))</f>
        <v>100</v>
      </c>
      <c r="AC38" s="8" t="str">
        <f aca="false">IF(O38="Y",P38,D38)&amp;""</f>
        <v>2.7M</v>
      </c>
      <c r="AD38" s="8" t="str">
        <f aca="false">IF(O38="Y",Q38,G38)&amp;""</f>
        <v>UNI-ROYAL</v>
      </c>
      <c r="AE38" s="8" t="str">
        <f aca="false">IF(O38="Y",R38,H38)&amp;""</f>
        <v>0805W8F2704T5E</v>
      </c>
      <c r="AF38" s="8" t="str">
        <f aca="false">IF(O38="Y",S38,I38)&amp;""</f>
        <v>C17531</v>
      </c>
      <c r="AG38" s="8" t="str">
        <f aca="false">IF(O38="Y",T38,J38)&amp;""</f>
        <v>Extended</v>
      </c>
      <c r="AH38" s="9" t="n">
        <f aca="false">IF(OR(AF38="",Y38&lt;&gt;"Y"),"",INT(IF(O38="Y",V38,L38)/C38))</f>
        <v>29539</v>
      </c>
      <c r="AI38" s="12" t="n">
        <f aca="false">AB38*IF(O38="Y",X38,N38)</f>
        <v>0.48</v>
      </c>
      <c r="AJ38" s="8"/>
      <c r="AK38" s="8" t="str">
        <f aca="false">IF(AF38="","",HYPERLINK("https://www.lcsc.com/product-detail/"&amp;AF38&amp;".html","open"))</f>
        <v>open</v>
      </c>
    </row>
    <row r="39" customFormat="false" ht="15" hidden="false" customHeight="false" outlineLevel="0" collapsed="false">
      <c r="A39" s="13" t="n">
        <v>32</v>
      </c>
      <c r="B39" s="13" t="s">
        <v>256</v>
      </c>
      <c r="C39" s="13" t="n">
        <v>2</v>
      </c>
      <c r="D39" s="13" t="s">
        <v>257</v>
      </c>
      <c r="E39" s="13" t="s">
        <v>258</v>
      </c>
      <c r="F39" s="13" t="s">
        <v>61</v>
      </c>
      <c r="G39" s="13" t="s">
        <v>218</v>
      </c>
      <c r="H39" s="13" t="s">
        <v>259</v>
      </c>
      <c r="I39" s="13" t="s">
        <v>260</v>
      </c>
      <c r="J39" s="13" t="s">
        <v>65</v>
      </c>
      <c r="K39" s="14" t="n">
        <v>5411400</v>
      </c>
      <c r="L39" s="14" t="n">
        <v>7103041</v>
      </c>
      <c r="M39" s="13" t="n">
        <v>100</v>
      </c>
      <c r="N39" s="15" t="n">
        <v>0.0045</v>
      </c>
      <c r="O39" s="11" t="s">
        <v>66</v>
      </c>
      <c r="P39" s="13"/>
      <c r="Q39" s="13"/>
      <c r="R39" s="13"/>
      <c r="S39" s="13"/>
      <c r="T39" s="13"/>
      <c r="U39" s="14"/>
      <c r="V39" s="14"/>
      <c r="W39" s="13"/>
      <c r="X39" s="15"/>
      <c r="Y39" s="11" t="s">
        <v>67</v>
      </c>
      <c r="Z39" s="11" t="n">
        <v>0</v>
      </c>
      <c r="AA39" s="13" t="n">
        <f aca="false">IF(Y39="Y",C39*$B$4+Z39,0)</f>
        <v>2</v>
      </c>
      <c r="AB39" s="13" t="n">
        <f aca="false">IF(AA39=0,0,MAX(IF(O39="Y",W39,M39),CEILING(AA39,IF(O39="Y",W39,M39))))</f>
        <v>100</v>
      </c>
      <c r="AC39" s="13" t="str">
        <f aca="false">IF(O39="Y",P39,D39)&amp;""</f>
        <v>0</v>
      </c>
      <c r="AD39" s="13" t="str">
        <f aca="false">IF(O39="Y",Q39,G39)&amp;""</f>
        <v>UNI-ROYAL</v>
      </c>
      <c r="AE39" s="13" t="str">
        <f aca="false">IF(O39="Y",R39,H39)&amp;""</f>
        <v>0805W8F0000T5E</v>
      </c>
      <c r="AF39" s="13" t="str">
        <f aca="false">IF(O39="Y",S39,I39)&amp;""</f>
        <v>C17477</v>
      </c>
      <c r="AG39" s="13" t="str">
        <f aca="false">IF(O39="Y",T39,J39)&amp;""</f>
        <v>Basic</v>
      </c>
      <c r="AH39" s="14" t="n">
        <f aca="false">IF(OR(AF39="",Y39&lt;&gt;"Y"),"",INT(IF(O39="Y",V39,L39)/C39))</f>
        <v>3551520</v>
      </c>
      <c r="AI39" s="16" t="n">
        <f aca="false">AB39*IF(O39="Y",X39,N39)</f>
        <v>0.45</v>
      </c>
      <c r="AJ39" s="13"/>
      <c r="AK39" s="13" t="str">
        <f aca="false">IF(AF39="","",HYPERLINK("https://www.lcsc.com/product-detail/"&amp;AF39&amp;".html","open"))</f>
        <v>open</v>
      </c>
    </row>
    <row r="40" customFormat="false" ht="35.05" hidden="false" customHeight="false" outlineLevel="0" collapsed="false">
      <c r="A40" s="8" t="n">
        <v>33</v>
      </c>
      <c r="B40" s="8" t="s">
        <v>261</v>
      </c>
      <c r="C40" s="8" t="n">
        <v>3</v>
      </c>
      <c r="D40" s="8" t="s">
        <v>262</v>
      </c>
      <c r="E40" s="8" t="s">
        <v>263</v>
      </c>
      <c r="F40" s="8" t="s">
        <v>264</v>
      </c>
      <c r="G40" s="8" t="s">
        <v>265</v>
      </c>
      <c r="H40" s="8" t="s">
        <v>266</v>
      </c>
      <c r="I40" s="8" t="s">
        <v>267</v>
      </c>
      <c r="J40" s="8" t="s">
        <v>92</v>
      </c>
      <c r="K40" s="9" t="n">
        <v>3520</v>
      </c>
      <c r="L40" s="9" t="n">
        <v>3524</v>
      </c>
      <c r="M40" s="8" t="n">
        <v>5</v>
      </c>
      <c r="N40" s="10" t="n">
        <v>0.2615</v>
      </c>
      <c r="O40" s="11" t="s">
        <v>66</v>
      </c>
      <c r="P40" s="8"/>
      <c r="Q40" s="8"/>
      <c r="R40" s="8"/>
      <c r="S40" s="8"/>
      <c r="T40" s="8"/>
      <c r="U40" s="9"/>
      <c r="V40" s="9"/>
      <c r="W40" s="8"/>
      <c r="X40" s="10"/>
      <c r="Y40" s="11" t="s">
        <v>67</v>
      </c>
      <c r="Z40" s="11" t="n">
        <v>0</v>
      </c>
      <c r="AA40" s="8" t="n">
        <f aca="false">IF(Y40="Y",C40*$B$4+Z40,0)</f>
        <v>3</v>
      </c>
      <c r="AB40" s="8" t="n">
        <f aca="false">IF(AA40=0,0,MAX(IF(O40="Y",W40,M40),CEILING(AA40,IF(O40="Y",W40,M40))))</f>
        <v>5</v>
      </c>
      <c r="AC40" s="8" t="str">
        <f aca="false">IF(O40="Y",P40,D40)&amp;""</f>
        <v>RST / BOOT0 / POWER</v>
      </c>
      <c r="AD40" s="8" t="str">
        <f aca="false">IF(O40="Y",Q40,G40)&amp;""</f>
        <v>C&amp;K</v>
      </c>
      <c r="AE40" s="8" t="str">
        <f aca="false">IF(O40="Y",R40,H40)&amp;""</f>
        <v>PTS636SK25SMTRLFS</v>
      </c>
      <c r="AF40" s="8" t="str">
        <f aca="false">IF(O40="Y",S40,I40)&amp;""</f>
        <v>C2689642</v>
      </c>
      <c r="AG40" s="8" t="str">
        <f aca="false">IF(O40="Y",T40,J40)&amp;""</f>
        <v>Extended</v>
      </c>
      <c r="AH40" s="9" t="n">
        <f aca="false">IF(OR(AF40="",Y40&lt;&gt;"Y"),"",INT(IF(O40="Y",V40,L40)/C40))</f>
        <v>1174</v>
      </c>
      <c r="AI40" s="12" t="n">
        <f aca="false">AB40*IF(O40="Y",X40,N40)</f>
        <v>1.3075</v>
      </c>
      <c r="AJ40" s="8" t="s">
        <v>268</v>
      </c>
      <c r="AK40" s="8" t="str">
        <f aca="false">IF(AF40="","",HYPERLINK("https://www.lcsc.com/product-detail/"&amp;AF40&amp;".html","open"))</f>
        <v>open</v>
      </c>
    </row>
    <row r="41" customFormat="false" ht="23.85" hidden="false" customHeight="false" outlineLevel="0" collapsed="false">
      <c r="A41" s="13" t="n">
        <v>34</v>
      </c>
      <c r="B41" s="13" t="s">
        <v>269</v>
      </c>
      <c r="C41" s="13" t="n">
        <v>1</v>
      </c>
      <c r="D41" s="13" t="s">
        <v>270</v>
      </c>
      <c r="E41" s="13" t="s">
        <v>271</v>
      </c>
      <c r="F41" s="13" t="s">
        <v>272</v>
      </c>
      <c r="G41" s="13" t="s">
        <v>273</v>
      </c>
      <c r="H41" s="13" t="s">
        <v>274</v>
      </c>
      <c r="I41" s="13" t="s">
        <v>275</v>
      </c>
      <c r="J41" s="13" t="s">
        <v>92</v>
      </c>
      <c r="K41" s="14" t="n">
        <v>266</v>
      </c>
      <c r="L41" s="14" t="n">
        <v>266</v>
      </c>
      <c r="M41" s="13" t="n">
        <v>1</v>
      </c>
      <c r="N41" s="15" t="n">
        <v>0.6261</v>
      </c>
      <c r="O41" s="11" t="s">
        <v>66</v>
      </c>
      <c r="P41" s="13"/>
      <c r="Q41" s="13"/>
      <c r="R41" s="13"/>
      <c r="S41" s="13"/>
      <c r="T41" s="13"/>
      <c r="U41" s="14"/>
      <c r="V41" s="14"/>
      <c r="W41" s="13"/>
      <c r="X41" s="15"/>
      <c r="Y41" s="11" t="s">
        <v>67</v>
      </c>
      <c r="Z41" s="11" t="n">
        <v>0</v>
      </c>
      <c r="AA41" s="13" t="n">
        <f aca="false">IF(Y41="Y",C41*$B$4+Z41,0)</f>
        <v>1</v>
      </c>
      <c r="AB41" s="13" t="n">
        <f aca="false">IF(AA41=0,0,MAX(IF(O41="Y",W41,M41),CEILING(AA41,IF(O41="Y",W41,M41))))</f>
        <v>1</v>
      </c>
      <c r="AC41" s="13" t="str">
        <f aca="false">IF(O41="Y",P41,D41)&amp;""</f>
        <v>10k NTC</v>
      </c>
      <c r="AD41" s="13" t="str">
        <f aca="false">IF(O41="Y",Q41,G41)&amp;""</f>
        <v>VISHAY</v>
      </c>
      <c r="AE41" s="13" t="str">
        <f aca="false">IF(O41="Y",R41,H41)&amp;""</f>
        <v>NTCLE100E3103JB0</v>
      </c>
      <c r="AF41" s="13" t="str">
        <f aca="false">IF(O41="Y",S41,I41)&amp;""</f>
        <v>C141588</v>
      </c>
      <c r="AG41" s="13" t="str">
        <f aca="false">IF(O41="Y",T41,J41)&amp;""</f>
        <v>Extended</v>
      </c>
      <c r="AH41" s="14" t="n">
        <f aca="false">IF(OR(AF41="",Y41&lt;&gt;"Y"),"",INT(IF(O41="Y",V41,L41)/C41))</f>
        <v>266</v>
      </c>
      <c r="AI41" s="16" t="n">
        <f aca="false">AB41*IF(O41="Y",X41,N41)</f>
        <v>0.6261</v>
      </c>
      <c r="AJ41" s="13" t="s">
        <v>276</v>
      </c>
      <c r="AK41" s="13" t="str">
        <f aca="false">IF(AF41="","",HYPERLINK("https://www.lcsc.com/product-detail/"&amp;AF41&amp;".html","open"))</f>
        <v>open</v>
      </c>
    </row>
    <row r="42" customFormat="false" ht="46.25" hidden="false" customHeight="false" outlineLevel="0" collapsed="false">
      <c r="A42" s="8" t="n">
        <v>35</v>
      </c>
      <c r="B42" s="8" t="s">
        <v>277</v>
      </c>
      <c r="C42" s="8" t="n">
        <v>1</v>
      </c>
      <c r="D42" s="8" t="s">
        <v>278</v>
      </c>
      <c r="E42" s="8" t="s">
        <v>279</v>
      </c>
      <c r="F42" s="8" t="s">
        <v>280</v>
      </c>
      <c r="G42" s="8" t="s">
        <v>281</v>
      </c>
      <c r="H42" s="8" t="s">
        <v>278</v>
      </c>
      <c r="I42" s="8" t="s">
        <v>282</v>
      </c>
      <c r="J42" s="8" t="s">
        <v>92</v>
      </c>
      <c r="K42" s="9" t="n">
        <v>0</v>
      </c>
      <c r="L42" s="9" t="n">
        <v>0</v>
      </c>
      <c r="M42" s="8" t="n">
        <v>1</v>
      </c>
      <c r="N42" s="10" t="n">
        <v>7.5985</v>
      </c>
      <c r="O42" s="11" t="s">
        <v>66</v>
      </c>
      <c r="P42" s="8"/>
      <c r="Q42" s="8"/>
      <c r="R42" s="8"/>
      <c r="S42" s="8"/>
      <c r="T42" s="8"/>
      <c r="U42" s="9"/>
      <c r="V42" s="9"/>
      <c r="W42" s="8"/>
      <c r="X42" s="10"/>
      <c r="Y42" s="11" t="s">
        <v>67</v>
      </c>
      <c r="Z42" s="11" t="n">
        <v>0</v>
      </c>
      <c r="AA42" s="8" t="n">
        <f aca="false">IF(Y42="Y",C42*$B$4+Z42,0)</f>
        <v>1</v>
      </c>
      <c r="AB42" s="8" t="n">
        <f aca="false">IF(AA42=0,0,MAX(IF(O42="Y",W42,M42),CEILING(AA42,IF(O42="Y",W42,M42))))</f>
        <v>1</v>
      </c>
      <c r="AC42" s="8" t="str">
        <f aca="false">IF(O42="Y",P42,D42)&amp;""</f>
        <v>STM32L432KCU6</v>
      </c>
      <c r="AD42" s="8" t="str">
        <f aca="false">IF(O42="Y",Q42,G42)&amp;""</f>
        <v>ST</v>
      </c>
      <c r="AE42" s="8" t="str">
        <f aca="false">IF(O42="Y",R42,H42)&amp;""</f>
        <v>STM32L432KCU6</v>
      </c>
      <c r="AF42" s="8" t="str">
        <f aca="false">IF(O42="Y",S42,I42)&amp;""</f>
        <v>C1337280</v>
      </c>
      <c r="AG42" s="8" t="str">
        <f aca="false">IF(O42="Y",T42,J42)&amp;""</f>
        <v>Extended</v>
      </c>
      <c r="AH42" s="9" t="n">
        <f aca="false">IF(OR(AF42="",Y42&lt;&gt;"Y"),"",INT(IF(O42="Y",V42,L42)/C42))</f>
        <v>0</v>
      </c>
      <c r="AI42" s="12" t="n">
        <f aca="false">AB42*IF(O42="Y",X42,N42)</f>
        <v>7.5985</v>
      </c>
      <c r="AJ42" s="8" t="s">
        <v>283</v>
      </c>
      <c r="AK42" s="8" t="str">
        <f aca="false">IF(AF42="","",HYPERLINK("https://www.lcsc.com/product-detail/"&amp;AF42&amp;".html","open"))</f>
        <v>open</v>
      </c>
    </row>
    <row r="43" customFormat="false" ht="23.85" hidden="false" customHeight="false" outlineLevel="0" collapsed="false">
      <c r="A43" s="13" t="n">
        <v>36</v>
      </c>
      <c r="B43" s="13" t="s">
        <v>284</v>
      </c>
      <c r="C43" s="13" t="n">
        <v>1</v>
      </c>
      <c r="D43" s="13" t="s">
        <v>285</v>
      </c>
      <c r="E43" s="13" t="s">
        <v>286</v>
      </c>
      <c r="F43" s="13" t="s">
        <v>287</v>
      </c>
      <c r="G43" s="13" t="s">
        <v>288</v>
      </c>
      <c r="H43" s="13" t="s">
        <v>289</v>
      </c>
      <c r="I43" s="13" t="s">
        <v>290</v>
      </c>
      <c r="J43" s="13" t="s">
        <v>92</v>
      </c>
      <c r="K43" s="14" t="n">
        <v>208</v>
      </c>
      <c r="L43" s="14" t="n">
        <v>208</v>
      </c>
      <c r="M43" s="13" t="n">
        <v>1</v>
      </c>
      <c r="N43" s="15" t="n">
        <v>1.9017</v>
      </c>
      <c r="O43" s="11" t="s">
        <v>66</v>
      </c>
      <c r="P43" s="13"/>
      <c r="Q43" s="13"/>
      <c r="R43" s="13"/>
      <c r="S43" s="13"/>
      <c r="T43" s="13"/>
      <c r="U43" s="14"/>
      <c r="V43" s="14"/>
      <c r="W43" s="13"/>
      <c r="X43" s="15"/>
      <c r="Y43" s="11" t="s">
        <v>67</v>
      </c>
      <c r="Z43" s="11" t="n">
        <v>0</v>
      </c>
      <c r="AA43" s="13" t="n">
        <f aca="false">IF(Y43="Y",C43*$B$4+Z43,0)</f>
        <v>1</v>
      </c>
      <c r="AB43" s="13" t="n">
        <f aca="false">IF(AA43=0,0,MAX(IF(O43="Y",W43,M43),CEILING(AA43,IF(O43="Y",W43,M43))))</f>
        <v>1</v>
      </c>
      <c r="AC43" s="13" t="str">
        <f aca="false">IF(O43="Y",P43,D43)&amp;""</f>
        <v>MCP73833</v>
      </c>
      <c r="AD43" s="13" t="str">
        <f aca="false">IF(O43="Y",Q43,G43)&amp;""</f>
        <v>MICROCHIP</v>
      </c>
      <c r="AE43" s="13" t="str">
        <f aca="false">IF(O43="Y",R43,H43)&amp;""</f>
        <v>MCP73833T-AMI/UN</v>
      </c>
      <c r="AF43" s="13" t="str">
        <f aca="false">IF(O43="Y",S43,I43)&amp;""</f>
        <v>C627668</v>
      </c>
      <c r="AG43" s="13" t="str">
        <f aca="false">IF(O43="Y",T43,J43)&amp;""</f>
        <v>Extended</v>
      </c>
      <c r="AH43" s="14" t="n">
        <f aca="false">IF(OR(AF43="",Y43&lt;&gt;"Y"),"",INT(IF(O43="Y",V43,L43)/C43))</f>
        <v>208</v>
      </c>
      <c r="AI43" s="16" t="n">
        <f aca="false">AB43*IF(O43="Y",X43,N43)</f>
        <v>1.9017</v>
      </c>
      <c r="AJ43" s="13" t="s">
        <v>291</v>
      </c>
      <c r="AK43" s="13" t="str">
        <f aca="false">IF(AF43="","",HYPERLINK("https://www.lcsc.com/product-detail/"&amp;AF43&amp;".html","open"))</f>
        <v>open</v>
      </c>
    </row>
    <row r="44" customFormat="false" ht="23.85" hidden="false" customHeight="false" outlineLevel="0" collapsed="false">
      <c r="A44" s="8" t="n">
        <v>37</v>
      </c>
      <c r="B44" s="8" t="s">
        <v>292</v>
      </c>
      <c r="C44" s="8" t="n">
        <v>1</v>
      </c>
      <c r="D44" s="8" t="s">
        <v>293</v>
      </c>
      <c r="E44" s="8" t="s">
        <v>294</v>
      </c>
      <c r="F44" s="8" t="s">
        <v>295</v>
      </c>
      <c r="G44" s="8" t="s">
        <v>296</v>
      </c>
      <c r="H44" s="8" t="s">
        <v>297</v>
      </c>
      <c r="I44" s="8" t="s">
        <v>298</v>
      </c>
      <c r="J44" s="8" t="s">
        <v>92</v>
      </c>
      <c r="K44" s="9" t="n">
        <v>8793</v>
      </c>
      <c r="L44" s="9" t="n">
        <v>8793</v>
      </c>
      <c r="M44" s="8" t="n">
        <v>1</v>
      </c>
      <c r="N44" s="10" t="n">
        <v>0.5665</v>
      </c>
      <c r="O44" s="11" t="s">
        <v>66</v>
      </c>
      <c r="P44" s="8"/>
      <c r="Q44" s="8"/>
      <c r="R44" s="8"/>
      <c r="S44" s="8"/>
      <c r="T44" s="8"/>
      <c r="U44" s="9"/>
      <c r="V44" s="9"/>
      <c r="W44" s="8"/>
      <c r="X44" s="10"/>
      <c r="Y44" s="11" t="s">
        <v>67</v>
      </c>
      <c r="Z44" s="11" t="n">
        <v>0</v>
      </c>
      <c r="AA44" s="8" t="n">
        <f aca="false">IF(Y44="Y",C44*$B$4+Z44,0)</f>
        <v>1</v>
      </c>
      <c r="AB44" s="8" t="n">
        <f aca="false">IF(AA44=0,0,MAX(IF(O44="Y",W44,M44),CEILING(AA44,IF(O44="Y",W44,M44))))</f>
        <v>1</v>
      </c>
      <c r="AC44" s="8" t="str">
        <f aca="false">IF(O44="Y",P44,D44)&amp;""</f>
        <v>TPS7A0233</v>
      </c>
      <c r="AD44" s="8" t="str">
        <f aca="false">IF(O44="Y",Q44,G44)&amp;""</f>
        <v>TI</v>
      </c>
      <c r="AE44" s="8" t="str">
        <f aca="false">IF(O44="Y",R44,H44)&amp;""</f>
        <v>TPS7A0233PDBVR</v>
      </c>
      <c r="AF44" s="8" t="str">
        <f aca="false">IF(O44="Y",S44,I44)&amp;""</f>
        <v>C2887324</v>
      </c>
      <c r="AG44" s="8" t="str">
        <f aca="false">IF(O44="Y",T44,J44)&amp;""</f>
        <v>Extended</v>
      </c>
      <c r="AH44" s="9" t="n">
        <f aca="false">IF(OR(AF44="",Y44&lt;&gt;"Y"),"",INT(IF(O44="Y",V44,L44)/C44))</f>
        <v>8793</v>
      </c>
      <c r="AI44" s="12" t="n">
        <f aca="false">AB44*IF(O44="Y",X44,N44)</f>
        <v>0.5665</v>
      </c>
      <c r="AJ44" s="8"/>
      <c r="AK44" s="8" t="str">
        <f aca="false">IF(AF44="","",HYPERLINK("https://www.lcsc.com/product-detail/"&amp;AF44&amp;".html","open"))</f>
        <v>open</v>
      </c>
    </row>
    <row r="45" customFormat="false" ht="35.05" hidden="false" customHeight="false" outlineLevel="0" collapsed="false">
      <c r="A45" s="13" t="n">
        <v>38</v>
      </c>
      <c r="B45" s="13" t="s">
        <v>299</v>
      </c>
      <c r="C45" s="13" t="n">
        <v>1</v>
      </c>
      <c r="D45" s="13" t="s">
        <v>300</v>
      </c>
      <c r="E45" s="13" t="s">
        <v>301</v>
      </c>
      <c r="F45" s="13" t="s">
        <v>302</v>
      </c>
      <c r="G45" s="13" t="s">
        <v>281</v>
      </c>
      <c r="H45" s="13" t="s">
        <v>303</v>
      </c>
      <c r="I45" s="13" t="s">
        <v>304</v>
      </c>
      <c r="J45" s="13" t="s">
        <v>92</v>
      </c>
      <c r="K45" s="14" t="n">
        <v>100</v>
      </c>
      <c r="L45" s="14" t="n">
        <v>100</v>
      </c>
      <c r="M45" s="13" t="n">
        <v>1</v>
      </c>
      <c r="N45" s="15" t="n">
        <v>5.4546</v>
      </c>
      <c r="O45" s="11" t="s">
        <v>66</v>
      </c>
      <c r="P45" s="13" t="s">
        <v>305</v>
      </c>
      <c r="Q45" s="13" t="s">
        <v>281</v>
      </c>
      <c r="R45" s="13" t="s">
        <v>306</v>
      </c>
      <c r="S45" s="13" t="s">
        <v>307</v>
      </c>
      <c r="T45" s="13" t="s">
        <v>92</v>
      </c>
      <c r="U45" s="14" t="n">
        <v>180</v>
      </c>
      <c r="V45" s="14" t="n">
        <v>180</v>
      </c>
      <c r="W45" s="13" t="n">
        <v>1</v>
      </c>
      <c r="X45" s="15" t="n">
        <v>4.8285</v>
      </c>
      <c r="Y45" s="11" t="s">
        <v>67</v>
      </c>
      <c r="Z45" s="11" t="n">
        <v>0</v>
      </c>
      <c r="AA45" s="13" t="n">
        <f aca="false">IF(Y45="Y",C45*$B$4+Z45,0)</f>
        <v>1</v>
      </c>
      <c r="AB45" s="13" t="n">
        <f aca="false">IF(AA45=0,0,MAX(IF(O45="Y",W45,M45),CEILING(AA45,IF(O45="Y",W45,M45))))</f>
        <v>1</v>
      </c>
      <c r="AC45" s="13" t="str">
        <f aca="false">IF(O45="Y",P45,D45)&amp;""</f>
        <v>ST25R3916</v>
      </c>
      <c r="AD45" s="13" t="str">
        <f aca="false">IF(O45="Y",Q45,G45)&amp;""</f>
        <v>ST</v>
      </c>
      <c r="AE45" s="13" t="str">
        <f aca="false">IF(O45="Y",R45,H45)&amp;""</f>
        <v>ST25R3916-AQWT</v>
      </c>
      <c r="AF45" s="13" t="str">
        <f aca="false">IF(O45="Y",S45,I45)&amp;""</f>
        <v>C2908147</v>
      </c>
      <c r="AG45" s="13" t="str">
        <f aca="false">IF(O45="Y",T45,J45)&amp;""</f>
        <v>Extended</v>
      </c>
      <c r="AH45" s="14" t="n">
        <f aca="false">IF(OR(AF45="",Y45&lt;&gt;"Y"),"",INT(IF(O45="Y",V45,L45)/C45))</f>
        <v>100</v>
      </c>
      <c r="AI45" s="16" t="n">
        <f aca="false">AB45*IF(O45="Y",X45,N45)</f>
        <v>5.4546</v>
      </c>
      <c r="AJ45" s="13" t="s">
        <v>308</v>
      </c>
      <c r="AK45" s="13" t="str">
        <f aca="false">IF(AF45="","",HYPERLINK("https://www.lcsc.com/product-detail/"&amp;AF45&amp;".html","open"))</f>
        <v>open</v>
      </c>
    </row>
    <row r="46" customFormat="false" ht="23.85" hidden="false" customHeight="false" outlineLevel="0" collapsed="false">
      <c r="A46" s="8" t="n">
        <v>39</v>
      </c>
      <c r="B46" s="8" t="s">
        <v>309</v>
      </c>
      <c r="C46" s="8" t="n">
        <v>1</v>
      </c>
      <c r="D46" s="8" t="s">
        <v>310</v>
      </c>
      <c r="E46" s="8" t="s">
        <v>311</v>
      </c>
      <c r="F46" s="8" t="s">
        <v>312</v>
      </c>
      <c r="G46" s="8" t="s">
        <v>281</v>
      </c>
      <c r="H46" s="8" t="s">
        <v>310</v>
      </c>
      <c r="I46" s="8" t="s">
        <v>313</v>
      </c>
      <c r="J46" s="8" t="s">
        <v>92</v>
      </c>
      <c r="K46" s="9" t="n">
        <v>43755</v>
      </c>
      <c r="L46" s="9" t="n">
        <v>45736</v>
      </c>
      <c r="M46" s="8" t="n">
        <v>5</v>
      </c>
      <c r="N46" s="10" t="n">
        <v>0.1778</v>
      </c>
      <c r="O46" s="11" t="s">
        <v>66</v>
      </c>
      <c r="P46" s="8"/>
      <c r="Q46" s="8"/>
      <c r="R46" s="8"/>
      <c r="S46" s="8"/>
      <c r="T46" s="8"/>
      <c r="U46" s="9"/>
      <c r="V46" s="9"/>
      <c r="W46" s="8"/>
      <c r="X46" s="10"/>
      <c r="Y46" s="11" t="s">
        <v>67</v>
      </c>
      <c r="Z46" s="11" t="n">
        <v>0</v>
      </c>
      <c r="AA46" s="8" t="n">
        <f aca="false">IF(Y46="Y",C46*$B$4+Z46,0)</f>
        <v>1</v>
      </c>
      <c r="AB46" s="8" t="n">
        <f aca="false">IF(AA46=0,0,MAX(IF(O46="Y",W46,M46),CEILING(AA46,IF(O46="Y",W46,M46))))</f>
        <v>5</v>
      </c>
      <c r="AC46" s="8" t="str">
        <f aca="false">IF(O46="Y",P46,D46)&amp;""</f>
        <v>USBLC6-2SC6</v>
      </c>
      <c r="AD46" s="8" t="str">
        <f aca="false">IF(O46="Y",Q46,G46)&amp;""</f>
        <v>ST</v>
      </c>
      <c r="AE46" s="8" t="str">
        <f aca="false">IF(O46="Y",R46,H46)&amp;""</f>
        <v>USBLC6-2SC6</v>
      </c>
      <c r="AF46" s="8" t="str">
        <f aca="false">IF(O46="Y",S46,I46)&amp;""</f>
        <v>C7519</v>
      </c>
      <c r="AG46" s="8" t="str">
        <f aca="false">IF(O46="Y",T46,J46)&amp;""</f>
        <v>Extended</v>
      </c>
      <c r="AH46" s="9" t="n">
        <f aca="false">IF(OR(AF46="",Y46&lt;&gt;"Y"),"",INT(IF(O46="Y",V46,L46)/C46))</f>
        <v>45736</v>
      </c>
      <c r="AI46" s="12" t="n">
        <f aca="false">AB46*IF(O46="Y",X46,N46)</f>
        <v>0.889</v>
      </c>
      <c r="AJ46" s="8" t="s">
        <v>314</v>
      </c>
      <c r="AK46" s="8" t="str">
        <f aca="false">IF(AF46="","",HYPERLINK("https://www.lcsc.com/product-detail/"&amp;AF46&amp;".html","open"))</f>
        <v>open</v>
      </c>
    </row>
    <row r="47" customFormat="false" ht="35.05" hidden="false" customHeight="false" outlineLevel="0" collapsed="false">
      <c r="A47" s="13" t="n">
        <v>40</v>
      </c>
      <c r="B47" s="13" t="s">
        <v>315</v>
      </c>
      <c r="C47" s="13" t="n">
        <v>1</v>
      </c>
      <c r="D47" s="13" t="s">
        <v>316</v>
      </c>
      <c r="E47" s="13" t="s">
        <v>317</v>
      </c>
      <c r="F47" s="13" t="s">
        <v>318</v>
      </c>
      <c r="G47" s="13" t="s">
        <v>319</v>
      </c>
      <c r="H47" s="13" t="s">
        <v>320</v>
      </c>
      <c r="I47" s="13" t="s">
        <v>321</v>
      </c>
      <c r="J47" s="13" t="s">
        <v>92</v>
      </c>
      <c r="K47" s="14" t="n">
        <v>6440</v>
      </c>
      <c r="L47" s="14" t="n">
        <v>9243</v>
      </c>
      <c r="M47" s="13" t="n">
        <v>5</v>
      </c>
      <c r="N47" s="15" t="n">
        <v>0.1106</v>
      </c>
      <c r="O47" s="11" t="s">
        <v>66</v>
      </c>
      <c r="P47" s="13"/>
      <c r="Q47" s="13"/>
      <c r="R47" s="13"/>
      <c r="S47" s="13"/>
      <c r="T47" s="13"/>
      <c r="U47" s="14"/>
      <c r="V47" s="14"/>
      <c r="W47" s="13"/>
      <c r="X47" s="15"/>
      <c r="Y47" s="11" t="s">
        <v>67</v>
      </c>
      <c r="Z47" s="11" t="n">
        <v>0</v>
      </c>
      <c r="AA47" s="13" t="n">
        <f aca="false">IF(Y47="Y",C47*$B$4+Z47,0)</f>
        <v>1</v>
      </c>
      <c r="AB47" s="13" t="n">
        <f aca="false">IF(AA47=0,0,MAX(IF(O47="Y",W47,M47),CEILING(AA47,IF(O47="Y",W47,M47))))</f>
        <v>5</v>
      </c>
      <c r="AC47" s="13" t="str">
        <f aca="false">IF(O47="Y",P47,D47)&amp;""</f>
        <v>27.12MHz</v>
      </c>
      <c r="AD47" s="13" t="str">
        <f aca="false">IF(O47="Y",Q47,G47)&amp;""</f>
        <v>YXC Crystal Oscillators</v>
      </c>
      <c r="AE47" s="13" t="str">
        <f aca="false">IF(O47="Y",R47,H47)&amp;""</f>
        <v>X32252712MMB4SI</v>
      </c>
      <c r="AF47" s="13" t="str">
        <f aca="false">IF(O47="Y",S47,I47)&amp;""</f>
        <v>C29975</v>
      </c>
      <c r="AG47" s="13" t="str">
        <f aca="false">IF(O47="Y",T47,J47)&amp;""</f>
        <v>Extended</v>
      </c>
      <c r="AH47" s="14" t="n">
        <f aca="false">IF(OR(AF47="",Y47&lt;&gt;"Y"),"",INT(IF(O47="Y",V47,L47)/C47))</f>
        <v>9243</v>
      </c>
      <c r="AI47" s="16" t="n">
        <f aca="false">AB47*IF(O47="Y",X47,N47)</f>
        <v>0.553</v>
      </c>
      <c r="AJ47" s="13" t="s">
        <v>322</v>
      </c>
      <c r="AK47" s="13" t="str">
        <f aca="false">IF(AF47="","",HYPERLINK("https://www.lcsc.com/product-detail/"&amp;AF47&amp;".html","open"))</f>
        <v>open</v>
      </c>
    </row>
    <row r="48" customFormat="false" ht="23.85" hidden="false" customHeight="false" outlineLevel="0" collapsed="false">
      <c r="A48" s="8" t="n">
        <v>41</v>
      </c>
      <c r="B48" s="8" t="s">
        <v>323</v>
      </c>
      <c r="C48" s="8" t="n">
        <v>1</v>
      </c>
      <c r="D48" s="8" t="s">
        <v>324</v>
      </c>
      <c r="E48" s="8" t="s">
        <v>325</v>
      </c>
      <c r="F48" s="8" t="s">
        <v>326</v>
      </c>
      <c r="G48" s="8" t="s">
        <v>327</v>
      </c>
      <c r="H48" s="8" t="s">
        <v>328</v>
      </c>
      <c r="I48" s="8" t="s">
        <v>329</v>
      </c>
      <c r="J48" s="8" t="s">
        <v>92</v>
      </c>
      <c r="K48" s="9" t="n">
        <v>129910</v>
      </c>
      <c r="L48" s="9" t="n">
        <v>136924</v>
      </c>
      <c r="M48" s="8" t="n">
        <v>5</v>
      </c>
      <c r="N48" s="10" t="n">
        <v>0.2032</v>
      </c>
      <c r="O48" s="11" t="s">
        <v>66</v>
      </c>
      <c r="P48" s="8"/>
      <c r="Q48" s="8"/>
      <c r="R48" s="8"/>
      <c r="S48" s="8"/>
      <c r="T48" s="8"/>
      <c r="U48" s="9"/>
      <c r="V48" s="9"/>
      <c r="W48" s="8"/>
      <c r="X48" s="10"/>
      <c r="Y48" s="11" t="s">
        <v>67</v>
      </c>
      <c r="Z48" s="11" t="n">
        <v>0</v>
      </c>
      <c r="AA48" s="8" t="n">
        <f aca="false">IF(Y48="Y",C48*$B$4+Z48,0)</f>
        <v>1</v>
      </c>
      <c r="AB48" s="8" t="n">
        <f aca="false">IF(AA48=0,0,MAX(IF(O48="Y",W48,M48),CEILING(AA48,IF(O48="Y",W48,M48))))</f>
        <v>5</v>
      </c>
      <c r="AC48" s="8" t="str">
        <f aca="false">IF(O48="Y",P48,D48)&amp;""</f>
        <v>32.768k</v>
      </c>
      <c r="AD48" s="8" t="str">
        <f aca="false">IF(O48="Y",Q48,G48)&amp;""</f>
        <v>EPSON</v>
      </c>
      <c r="AE48" s="8" t="str">
        <f aca="false">IF(O48="Y",R48,H48)&amp;""</f>
        <v>Q13FC13500049</v>
      </c>
      <c r="AF48" s="8" t="str">
        <f aca="false">IF(O48="Y",S48,I48)&amp;""</f>
        <v>C95361</v>
      </c>
      <c r="AG48" s="8" t="str">
        <f aca="false">IF(O48="Y",T48,J48)&amp;""</f>
        <v>Extended</v>
      </c>
      <c r="AH48" s="9" t="n">
        <f aca="false">IF(OR(AF48="",Y48&lt;&gt;"Y"),"",INT(IF(O48="Y",V48,L48)/C48))</f>
        <v>136924</v>
      </c>
      <c r="AI48" s="12" t="n">
        <f aca="false">AB48*IF(O48="Y",X48,N48)</f>
        <v>1.016</v>
      </c>
      <c r="AJ48" s="8" t="s">
        <v>330</v>
      </c>
      <c r="AK48" s="8" t="str">
        <f aca="false">IF(AF48="","",HYPERLINK("https://www.lcsc.com/product-detail/"&amp;AF48&amp;".html","open"))</f>
        <v>open</v>
      </c>
    </row>
    <row r="49" customFormat="false" ht="23.85" hidden="false" customHeight="false" outlineLevel="0" collapsed="false">
      <c r="A49" s="13" t="n">
        <v>42</v>
      </c>
      <c r="B49" s="13" t="s">
        <v>331</v>
      </c>
      <c r="C49" s="13" t="n">
        <v>1</v>
      </c>
      <c r="D49" s="13" t="s">
        <v>332</v>
      </c>
      <c r="E49" s="13" t="s">
        <v>333</v>
      </c>
      <c r="F49" s="13" t="s">
        <v>334</v>
      </c>
      <c r="G49" s="13"/>
      <c r="H49" s="13"/>
      <c r="I49" s="13"/>
      <c r="J49" s="13"/>
      <c r="K49" s="14"/>
      <c r="L49" s="14"/>
      <c r="M49" s="13"/>
      <c r="N49" s="15"/>
      <c r="O49" s="11" t="s">
        <v>66</v>
      </c>
      <c r="P49" s="13"/>
      <c r="Q49" s="13"/>
      <c r="R49" s="13"/>
      <c r="S49" s="13"/>
      <c r="T49" s="13"/>
      <c r="U49" s="14"/>
      <c r="V49" s="14"/>
      <c r="W49" s="13"/>
      <c r="X49" s="15"/>
      <c r="Y49" s="11" t="s">
        <v>66</v>
      </c>
      <c r="Z49" s="11" t="n">
        <v>0</v>
      </c>
      <c r="AA49" s="13" t="n">
        <f aca="false">IF(Y49="Y",C49*$B$4+Z49,0)</f>
        <v>0</v>
      </c>
      <c r="AB49" s="13" t="n">
        <f aca="false">IF(AA49=0,0,MAX(IF(O49="Y",W49,M49),CEILING(AA49,IF(O49="Y",W49,M49))))</f>
        <v>0</v>
      </c>
      <c r="AC49" s="13" t="str">
        <f aca="false">IF(O49="Y",P49,D49)&amp;""</f>
        <v>Antenna_Loop</v>
      </c>
      <c r="AD49" s="13" t="str">
        <f aca="false">IF(O49="Y",Q49,G49)&amp;""</f>
        <v/>
      </c>
      <c r="AE49" s="13" t="str">
        <f aca="false">IF(O49="Y",R49,H49)&amp;""</f>
        <v/>
      </c>
      <c r="AF49" s="13" t="str">
        <f aca="false">IF(O49="Y",S49,I49)&amp;""</f>
        <v/>
      </c>
      <c r="AG49" s="13" t="str">
        <f aca="false">IF(O49="Y",T49,J49)&amp;""</f>
        <v/>
      </c>
      <c r="AH49" s="14" t="str">
        <f aca="false">IF(OR(AF49="",Y49&lt;&gt;"Y"),"",INT(IF(O49="Y",V49,L49)/C49))</f>
        <v/>
      </c>
      <c r="AI49" s="16" t="n">
        <f aca="false">AB49*IF(O49="Y",X49,N49)</f>
        <v>0</v>
      </c>
      <c r="AJ49" s="13" t="s">
        <v>335</v>
      </c>
      <c r="AK49" s="13" t="str">
        <f aca="false">IF(AF49="","",HYPERLINK("https://www.lcsc.com/product-detail/"&amp;AF49&amp;".html","open"))</f>
        <v/>
      </c>
    </row>
    <row r="50" customFormat="false" ht="15" hidden="false" customHeight="false" outlineLevel="0" collapsed="false">
      <c r="A50" s="8" t="n">
        <v>43</v>
      </c>
      <c r="B50" s="8" t="s">
        <v>336</v>
      </c>
      <c r="C50" s="8" t="n">
        <v>1</v>
      </c>
      <c r="D50" s="8" t="s">
        <v>337</v>
      </c>
      <c r="E50" s="8" t="s">
        <v>338</v>
      </c>
      <c r="F50" s="8"/>
      <c r="G50" s="8" t="s">
        <v>172</v>
      </c>
      <c r="H50" s="8" t="s">
        <v>337</v>
      </c>
      <c r="I50" s="8" t="s">
        <v>339</v>
      </c>
      <c r="J50" s="8" t="s">
        <v>92</v>
      </c>
      <c r="K50" s="9" t="n">
        <v>48240</v>
      </c>
      <c r="L50" s="9" t="n">
        <v>48250</v>
      </c>
      <c r="M50" s="8" t="n">
        <v>20</v>
      </c>
      <c r="N50" s="10" t="n">
        <v>0.0358</v>
      </c>
      <c r="O50" s="11" t="s">
        <v>66</v>
      </c>
      <c r="P50" s="8"/>
      <c r="Q50" s="8"/>
      <c r="R50" s="8"/>
      <c r="S50" s="8"/>
      <c r="T50" s="8"/>
      <c r="U50" s="9"/>
      <c r="V50" s="9"/>
      <c r="W50" s="8"/>
      <c r="X50" s="10"/>
      <c r="Y50" s="11" t="s">
        <v>66</v>
      </c>
      <c r="Z50" s="11" t="n">
        <v>0</v>
      </c>
      <c r="AA50" s="8" t="n">
        <f aca="false">IF(Y50="Y",C50*$B$4+Z50,0)</f>
        <v>0</v>
      </c>
      <c r="AB50" s="8" t="n">
        <f aca="false">IF(AA50=0,0,MAX(IF(O50="Y",W50,M50),CEILING(AA50,IF(O50="Y",W50,M50))))</f>
        <v>0</v>
      </c>
      <c r="AC50" s="8" t="str">
        <f aca="false">IF(O50="Y",P50,D50)&amp;""</f>
        <v>XAP-02V-1</v>
      </c>
      <c r="AD50" s="8" t="str">
        <f aca="false">IF(O50="Y",Q50,G50)&amp;""</f>
        <v>JST</v>
      </c>
      <c r="AE50" s="8" t="str">
        <f aca="false">IF(O50="Y",R50,H50)&amp;""</f>
        <v>XAP-02V-1</v>
      </c>
      <c r="AF50" s="8" t="str">
        <f aca="false">IF(O50="Y",S50,I50)&amp;""</f>
        <v>C157892</v>
      </c>
      <c r="AG50" s="8" t="str">
        <f aca="false">IF(O50="Y",T50,J50)&amp;""</f>
        <v>Extended</v>
      </c>
      <c r="AH50" s="9" t="str">
        <f aca="false">IF(OR(AF50="",Y50&lt;&gt;"Y"),"",INT(IF(O50="Y",V50,L50)/C50))</f>
        <v/>
      </c>
      <c r="AI50" s="12" t="n">
        <f aca="false">AB50*IF(O50="Y",X50,N50)</f>
        <v>0</v>
      </c>
      <c r="AJ50" s="8" t="s">
        <v>340</v>
      </c>
      <c r="AK50" s="8" t="str">
        <f aca="false">IF(AF50="","",HYPERLINK("https://www.lcsc.com/product-detail/"&amp;AF50&amp;".html","open"))</f>
        <v>open</v>
      </c>
    </row>
    <row r="51" customFormat="false" ht="23.85" hidden="false" customHeight="false" outlineLevel="0" collapsed="false">
      <c r="A51" s="13" t="n">
        <v>44</v>
      </c>
      <c r="B51" s="13" t="s">
        <v>336</v>
      </c>
      <c r="C51" s="13" t="n">
        <v>2</v>
      </c>
      <c r="D51" s="13" t="s">
        <v>341</v>
      </c>
      <c r="E51" s="13" t="s">
        <v>342</v>
      </c>
      <c r="F51" s="13"/>
      <c r="G51" s="13" t="s">
        <v>172</v>
      </c>
      <c r="H51" s="13" t="s">
        <v>341</v>
      </c>
      <c r="I51" s="13" t="s">
        <v>343</v>
      </c>
      <c r="J51" s="13" t="s">
        <v>92</v>
      </c>
      <c r="K51" s="14" t="n">
        <v>328100</v>
      </c>
      <c r="L51" s="14" t="n">
        <v>328137</v>
      </c>
      <c r="M51" s="13" t="n">
        <v>50</v>
      </c>
      <c r="N51" s="15" t="n">
        <v>0.0129</v>
      </c>
      <c r="O51" s="11" t="s">
        <v>66</v>
      </c>
      <c r="P51" s="13"/>
      <c r="Q51" s="13"/>
      <c r="R51" s="13"/>
      <c r="S51" s="13"/>
      <c r="T51" s="13"/>
      <c r="U51" s="14"/>
      <c r="V51" s="14"/>
      <c r="W51" s="13"/>
      <c r="X51" s="15"/>
      <c r="Y51" s="11" t="s">
        <v>66</v>
      </c>
      <c r="Z51" s="11" t="n">
        <v>0</v>
      </c>
      <c r="AA51" s="13" t="n">
        <f aca="false">IF(Y51="Y",C51*$B$4+Z51,0)</f>
        <v>0</v>
      </c>
      <c r="AB51" s="13" t="n">
        <f aca="false">IF(AA51=0,0,MAX(IF(O51="Y",W51,M51),CEILING(AA51,IF(O51="Y",W51,M51))))</f>
        <v>0</v>
      </c>
      <c r="AC51" s="13" t="str">
        <f aca="false">IF(O51="Y",P51,D51)&amp;""</f>
        <v>SXA-001T-P0.6</v>
      </c>
      <c r="AD51" s="13" t="str">
        <f aca="false">IF(O51="Y",Q51,G51)&amp;""</f>
        <v>JST</v>
      </c>
      <c r="AE51" s="13" t="str">
        <f aca="false">IF(O51="Y",R51,H51)&amp;""</f>
        <v>SXA-001T-P0.6</v>
      </c>
      <c r="AF51" s="13" t="str">
        <f aca="false">IF(O51="Y",S51,I51)&amp;""</f>
        <v>C246759</v>
      </c>
      <c r="AG51" s="13" t="str">
        <f aca="false">IF(O51="Y",T51,J51)&amp;""</f>
        <v>Extended</v>
      </c>
      <c r="AH51" s="14" t="str">
        <f aca="false">IF(OR(AF51="",Y51&lt;&gt;"Y"),"",INT(IF(O51="Y",V51,L51)/C51))</f>
        <v/>
      </c>
      <c r="AI51" s="16" t="n">
        <f aca="false">AB51*IF(O51="Y",X51,N51)</f>
        <v>0</v>
      </c>
      <c r="AJ51" s="13" t="s">
        <v>344</v>
      </c>
      <c r="AK51" s="13" t="str">
        <f aca="false">IF(AF51="","",HYPERLINK("https://www.lcsc.com/product-detail/"&amp;AF51&amp;".html","open"))</f>
        <v>open</v>
      </c>
    </row>
    <row r="53" customFormat="false" ht="32.8" hidden="false" customHeight="false" outlineLevel="0" collapsed="false">
      <c r="AF53" s="5" t="s">
        <v>345</v>
      </c>
      <c r="AI53" s="17" t="n">
        <f aca="false">SUM(AI8:AI51)</f>
        <v>40.7078</v>
      </c>
      <c r="AJ53" s="18" t="s">
        <v>346</v>
      </c>
    </row>
    <row r="54" customFormat="false" ht="15" hidden="false" customHeight="false" outlineLevel="0" collapsed="false">
      <c r="AF54" s="19" t="s">
        <v>347</v>
      </c>
      <c r="AI54" s="20" t="n">
        <f aca="false">COUNTIF(AB8:AB51,"&gt;0")</f>
        <v>40</v>
      </c>
    </row>
    <row r="55" customFormat="false" ht="15" hidden="false" customHeight="false" outlineLevel="0" collapsed="false">
      <c r="AF55" s="19" t="s">
        <v>348</v>
      </c>
      <c r="AI55" s="20" t="n">
        <f aca="false">COUNTIFS(AG8:AG51,"Extended",AB8:AB51,"&gt;0")</f>
        <v>24</v>
      </c>
    </row>
    <row r="56" customFormat="false" ht="15" hidden="false" customHeight="false" outlineLevel="0" collapsed="false">
      <c r="AF56" s="19" t="s">
        <v>349</v>
      </c>
      <c r="AI56" s="20" t="n">
        <f aca="false">COUNTIFS(AG8:AG51,"Basic",AB8:AB51,"&gt;0")+COUNTIFS(AG8:AG51,"Preferred ext.",AB8:AB51,"&gt;0")</f>
        <v>16</v>
      </c>
    </row>
  </sheetData>
  <autoFilter ref="A7:AK51"/>
  <conditionalFormatting sqref="K8:K51">
    <cfRule type="expression" priority="2" aboveAverage="0" equalAverage="0" bottom="0" percent="0" rank="0" text="" dxfId="7">
      <formula>AND($O8&lt;&gt;"Y",$Y8="Y",K8&lt;$AB8)</formula>
    </cfRule>
  </conditionalFormatting>
  <conditionalFormatting sqref="L8:L51">
    <cfRule type="expression" priority="3" aboveAverage="0" equalAverage="0" bottom="0" percent="0" rank="0" text="" dxfId="7">
      <formula>AND($O8&lt;&gt;"Y",$Y8="Y",L8&lt;$AA8)</formula>
    </cfRule>
  </conditionalFormatting>
  <conditionalFormatting sqref="U8:U51">
    <cfRule type="expression" priority="4" aboveAverage="0" equalAverage="0" bottom="0" percent="0" rank="0" text="" dxfId="7">
      <formula>AND($O8="Y",$Y8="Y",U8&lt;$AB8)</formula>
    </cfRule>
  </conditionalFormatting>
  <conditionalFormatting sqref="V8:V51">
    <cfRule type="expression" priority="5" aboveAverage="0" equalAverage="0" bottom="0" percent="0" rank="0" text="" dxfId="7">
      <formula>AND($O8="Y",$Y8="Y",V8&lt;$AA8)</formula>
    </cfRule>
  </conditionalFormatting>
  <conditionalFormatting sqref="AH8:AH51">
    <cfRule type="expression" priority="6" aboveAverage="0" equalAverage="0" bottom="0" percent="0" rank="0" text="" dxfId="7">
      <formula>AND(ISNUMBER(AH8),AH8&lt;$B$4)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3" min="2" style="0" width="45"/>
    <col collapsed="false" customWidth="true" hidden="false" outlineLevel="0" max="4" min="4" style="0" width="14"/>
  </cols>
  <sheetData>
    <row r="1" customFormat="false" ht="15" hidden="false" customHeight="false" outlineLevel="0" collapsed="false">
      <c r="A1" s="21" t="s">
        <v>350</v>
      </c>
      <c r="B1" s="21" t="s">
        <v>351</v>
      </c>
      <c r="C1" s="21" t="s">
        <v>26</v>
      </c>
      <c r="D1" s="21" t="s">
        <v>352</v>
      </c>
    </row>
    <row r="2" customFormat="false" ht="15" hidden="false" customHeight="false" outlineLevel="0" collapsed="false">
      <c r="A2" s="22" t="str">
        <f aca="false">BOM!AC8</f>
        <v>100n</v>
      </c>
      <c r="B2" s="22" t="str">
        <f aca="false">BOM!B8</f>
        <v>C1,C3,C8,C11,C22,C23,C24,C25,C28,C29,C30,C34</v>
      </c>
      <c r="C2" s="22" t="str">
        <f aca="false">BOM!F8</f>
        <v>0805</v>
      </c>
      <c r="D2" s="22" t="str">
        <f aca="false">BOM!AF8</f>
        <v>C49678</v>
      </c>
    </row>
    <row r="3" customFormat="false" ht="15" hidden="false" customHeight="false" outlineLevel="0" collapsed="false">
      <c r="A3" s="22" t="str">
        <f aca="false">BOM!AC9</f>
        <v>4.7u</v>
      </c>
      <c r="B3" s="22" t="str">
        <f aca="false">BOM!B9</f>
        <v>C2,C35</v>
      </c>
      <c r="C3" s="22" t="str">
        <f aca="false">BOM!F9</f>
        <v>0805</v>
      </c>
      <c r="D3" s="22" t="str">
        <f aca="false">BOM!AF9</f>
        <v>C1779</v>
      </c>
    </row>
    <row r="4" customFormat="false" ht="15" hidden="false" customHeight="false" outlineLevel="0" collapsed="false">
      <c r="A4" s="22" t="str">
        <f aca="false">BOM!AC10</f>
        <v>10n</v>
      </c>
      <c r="B4" s="22" t="str">
        <f aca="false">BOM!B10</f>
        <v>C4</v>
      </c>
      <c r="C4" s="22" t="str">
        <f aca="false">BOM!F10</f>
        <v>0805</v>
      </c>
      <c r="D4" s="22" t="str">
        <f aca="false">BOM!AF10</f>
        <v>C1710</v>
      </c>
    </row>
    <row r="5" customFormat="false" ht="15" hidden="false" customHeight="false" outlineLevel="0" collapsed="false">
      <c r="A5" s="22" t="str">
        <f aca="false">BOM!AC11</f>
        <v>1u</v>
      </c>
      <c r="B5" s="22" t="str">
        <f aca="false">BOM!B11</f>
        <v>C5,C33</v>
      </c>
      <c r="C5" s="22" t="str">
        <f aca="false">BOM!F11</f>
        <v>0805</v>
      </c>
      <c r="D5" s="22" t="str">
        <f aca="false">BOM!AF11</f>
        <v>C28323</v>
      </c>
    </row>
    <row r="6" customFormat="false" ht="15" hidden="false" customHeight="false" outlineLevel="0" collapsed="false">
      <c r="A6" s="22" t="str">
        <f aca="false">BOM!AC12</f>
        <v>8.2p</v>
      </c>
      <c r="B6" s="22" t="str">
        <f aca="false">BOM!B12</f>
        <v>C6,C7</v>
      </c>
      <c r="C6" s="22" t="str">
        <f aca="false">BOM!F12</f>
        <v>0805</v>
      </c>
      <c r="D6" s="22" t="str">
        <f aca="false">BOM!AF12</f>
        <v>C1840</v>
      </c>
    </row>
    <row r="7" customFormat="false" ht="15" hidden="false" customHeight="false" outlineLevel="0" collapsed="false">
      <c r="A7" s="22" t="str">
        <f aca="false">BOM!AC13</f>
        <v>15p</v>
      </c>
      <c r="B7" s="22" t="str">
        <f aca="false">BOM!B13</f>
        <v>C9,C10</v>
      </c>
      <c r="C7" s="22" t="str">
        <f aca="false">BOM!F13</f>
        <v>0805</v>
      </c>
      <c r="D7" s="22" t="str">
        <f aca="false">BOM!AF13</f>
        <v>C107110</v>
      </c>
    </row>
    <row r="8" customFormat="false" ht="15" hidden="false" customHeight="false" outlineLevel="0" collapsed="false">
      <c r="A8" s="22" t="str">
        <f aca="false">BOM!AC14</f>
        <v>150p</v>
      </c>
      <c r="B8" s="22" t="str">
        <f aca="false">BOM!B14</f>
        <v>C12,C13,C38,C39</v>
      </c>
      <c r="C8" s="22" t="str">
        <f aca="false">BOM!F14</f>
        <v>0805</v>
      </c>
      <c r="D8" s="22" t="str">
        <f aca="false">BOM!AF14</f>
        <v>C107111</v>
      </c>
    </row>
    <row r="9" customFormat="false" ht="15" hidden="false" customHeight="false" outlineLevel="0" collapsed="false">
      <c r="A9" s="22" t="str">
        <f aca="false">BOM!AC15</f>
        <v>10p</v>
      </c>
      <c r="B9" s="22" t="str">
        <f aca="false">BOM!B15</f>
        <v>C15,C37</v>
      </c>
      <c r="C9" s="22" t="str">
        <f aca="false">BOM!F15</f>
        <v>0805</v>
      </c>
      <c r="D9" s="22" t="str">
        <f aca="false">BOM!AF15</f>
        <v>C107107</v>
      </c>
    </row>
    <row r="10" customFormat="false" ht="15" hidden="false" customHeight="false" outlineLevel="0" collapsed="false">
      <c r="A10" s="22" t="str">
        <f aca="false">BOM!AC16</f>
        <v>68p</v>
      </c>
      <c r="B10" s="22" t="str">
        <f aca="false">BOM!B16</f>
        <v>C16,C17</v>
      </c>
      <c r="C10" s="22" t="str">
        <f aca="false">BOM!F16</f>
        <v>0805</v>
      </c>
      <c r="D10" s="22" t="str">
        <f aca="false">BOM!AF16</f>
        <v>C107120</v>
      </c>
    </row>
    <row r="11" customFormat="false" ht="15" hidden="false" customHeight="false" outlineLevel="0" collapsed="false">
      <c r="A11" s="22" t="str">
        <f aca="false">BOM!AC17</f>
        <v>270p</v>
      </c>
      <c r="B11" s="22" t="str">
        <f aca="false">BOM!B17</f>
        <v>C18,C19</v>
      </c>
      <c r="C11" s="22" t="str">
        <f aca="false">BOM!F17</f>
        <v>0805</v>
      </c>
      <c r="D11" s="22" t="str">
        <f aca="false">BOM!AF17</f>
        <v>C107106</v>
      </c>
    </row>
    <row r="12" customFormat="false" ht="15" hidden="false" customHeight="false" outlineLevel="0" collapsed="false">
      <c r="A12" s="22" t="str">
        <f aca="false">BOM!AC18</f>
        <v>10u</v>
      </c>
      <c r="B12" s="22" t="str">
        <f aca="false">BOM!B18</f>
        <v>C20,C21,C36</v>
      </c>
      <c r="C12" s="22" t="str">
        <f aca="false">BOM!F18</f>
        <v>0805</v>
      </c>
      <c r="D12" s="22" t="str">
        <f aca="false">BOM!AF18</f>
        <v>C15850</v>
      </c>
    </row>
    <row r="13" customFormat="false" ht="15" hidden="false" customHeight="false" outlineLevel="0" collapsed="false">
      <c r="A13" s="22" t="str">
        <f aca="false">BOM!AC19</f>
        <v>2.2u</v>
      </c>
      <c r="B13" s="22" t="str">
        <f aca="false">BOM!B19</f>
        <v>C26,C27,C31,C32</v>
      </c>
      <c r="C13" s="22" t="str">
        <f aca="false">BOM!F19</f>
        <v>0805</v>
      </c>
      <c r="D13" s="22" t="str">
        <f aca="false">BOM!AF19</f>
        <v>C377773</v>
      </c>
    </row>
    <row r="14" customFormat="false" ht="15" hidden="false" customHeight="false" outlineLevel="0" collapsed="false">
      <c r="A14" s="22" t="str">
        <f aca="false">BOM!AC20</f>
        <v>RED</v>
      </c>
      <c r="B14" s="22" t="str">
        <f aca="false">BOM!B20</f>
        <v>D1,D5</v>
      </c>
      <c r="C14" s="22" t="str">
        <f aca="false">BOM!F20</f>
        <v>0805</v>
      </c>
      <c r="D14" s="22" t="str">
        <f aca="false">BOM!AF20</f>
        <v>C84256</v>
      </c>
    </row>
    <row r="15" customFormat="false" ht="15" hidden="false" customHeight="false" outlineLevel="0" collapsed="false">
      <c r="A15" s="22" t="str">
        <f aca="false">BOM!AC21</f>
        <v>GREEN</v>
      </c>
      <c r="B15" s="22" t="str">
        <f aca="false">BOM!B21</f>
        <v>D2,D3,D6</v>
      </c>
      <c r="C15" s="22" t="str">
        <f aca="false">BOM!F21</f>
        <v>0805</v>
      </c>
      <c r="D15" s="22" t="str">
        <f aca="false">BOM!AF21</f>
        <v>C98221</v>
      </c>
    </row>
    <row r="16" customFormat="false" ht="15" hidden="false" customHeight="false" outlineLevel="0" collapsed="false">
      <c r="A16" s="22" t="str">
        <f aca="false">BOM!AC22</f>
        <v>SS14</v>
      </c>
      <c r="B16" s="22" t="str">
        <f aca="false">BOM!B22</f>
        <v>D4</v>
      </c>
      <c r="C16" s="22" t="str">
        <f aca="false">BOM!F22</f>
        <v>D_SMA</v>
      </c>
      <c r="D16" s="22" t="str">
        <f aca="false">BOM!AF22</f>
        <v>C2480</v>
      </c>
    </row>
    <row r="17" customFormat="false" ht="15" hidden="false" customHeight="false" outlineLevel="0" collapsed="false">
      <c r="A17" s="22" t="str">
        <f aca="false">BOM!AC23</f>
        <v>600R@100MHz</v>
      </c>
      <c r="B17" s="22" t="str">
        <f aca="false">BOM!B23</f>
        <v>FB1,FB2</v>
      </c>
      <c r="C17" s="22" t="str">
        <f aca="false">BOM!F23</f>
        <v>0402</v>
      </c>
      <c r="D17" s="22" t="str">
        <f aca="false">BOM!AF23</f>
        <v>C76884</v>
      </c>
    </row>
    <row r="18" customFormat="false" ht="15" hidden="false" customHeight="false" outlineLevel="0" collapsed="false">
      <c r="A18" s="22" t="str">
        <f aca="false">BOM!AC24</f>
        <v>USB-C</v>
      </c>
      <c r="B18" s="22" t="str">
        <f aca="false">BOM!B24</f>
        <v>J1</v>
      </c>
      <c r="C18" s="22" t="str">
        <f aca="false">BOM!F24</f>
        <v>USB_C_Receptacle_GCT_USB4110</v>
      </c>
      <c r="D18" s="22" t="str">
        <f aca="false">BOM!AF24</f>
        <v>C5143397</v>
      </c>
    </row>
    <row r="19" customFormat="false" ht="15" hidden="false" customHeight="false" outlineLevel="0" collapsed="false">
      <c r="A19" s="22" t="str">
        <f aca="false">BOM!AC25</f>
        <v>BATTERY</v>
      </c>
      <c r="B19" s="22" t="str">
        <f aca="false">BOM!B25</f>
        <v>J2</v>
      </c>
      <c r="C19" s="22" t="str">
        <f aca="false">BOM!F25</f>
        <v>JST_XA_B02B-XASK-1_1x02_P2.50mm_Vertical</v>
      </c>
      <c r="D19" s="22" t="str">
        <f aca="false">BOM!AF25</f>
        <v>C263753</v>
      </c>
    </row>
    <row r="20" customFormat="false" ht="15" hidden="false" customHeight="false" outlineLevel="0" collapsed="false">
      <c r="A20" s="22" t="str">
        <f aca="false">BOM!AC26</f>
        <v>SWD</v>
      </c>
      <c r="B20" s="22" t="str">
        <f aca="false">BOM!B26</f>
        <v>J3</v>
      </c>
      <c r="C20" s="22" t="str">
        <f aca="false">BOM!F26</f>
        <v>PinHeader_1x04_P2.54mm_Vertical</v>
      </c>
      <c r="D20" s="22" t="str">
        <f aca="false">BOM!AF26</f>
        <v>C2691448</v>
      </c>
    </row>
    <row r="21" customFormat="false" ht="15" hidden="false" customHeight="false" outlineLevel="0" collapsed="false">
      <c r="A21" s="22" t="str">
        <f aca="false">BOM!AC27</f>
        <v>VIB_MOTOR</v>
      </c>
      <c r="B21" s="22" t="str">
        <f aca="false">BOM!B27</f>
        <v>J4</v>
      </c>
      <c r="C21" s="22" t="str">
        <f aca="false">BOM!F27</f>
        <v>PinHeader_1x02_P2.54mm_Vertical</v>
      </c>
      <c r="D21" s="22" t="str">
        <f aca="false">BOM!AF27</f>
        <v>C492401</v>
      </c>
    </row>
    <row r="22" customFormat="false" ht="15" hidden="false" customHeight="false" outlineLevel="0" collapsed="false">
      <c r="A22" s="22" t="str">
        <f aca="false">BOM!AC29</f>
        <v>PN532</v>
      </c>
      <c r="B22" s="22" t="str">
        <f aca="false">BOM!B29</f>
        <v>J7</v>
      </c>
      <c r="C22" s="22" t="str">
        <f aca="false">BOM!F29</f>
        <v>PinSocket_1x08_P2.54mm_Vertical</v>
      </c>
      <c r="D22" s="22" t="str">
        <f aca="false">BOM!AF29</f>
        <v>C42431840</v>
      </c>
    </row>
    <row r="23" customFormat="false" ht="15" hidden="false" customHeight="false" outlineLevel="0" collapsed="false">
      <c r="A23" s="22" t="str">
        <f aca="false">BOM!AC30</f>
        <v>470nH</v>
      </c>
      <c r="B23" s="22" t="str">
        <f aca="false">BOM!B30</f>
        <v>L3,L4</v>
      </c>
      <c r="C23" s="22" t="str">
        <f aca="false">BOM!F30</f>
        <v>0805</v>
      </c>
      <c r="D23" s="22" t="str">
        <f aca="false">BOM!AF30</f>
        <v>C337959</v>
      </c>
    </row>
    <row r="24" customFormat="false" ht="15" hidden="false" customHeight="false" outlineLevel="0" collapsed="false">
      <c r="A24" s="22" t="str">
        <f aca="false">BOM!AC31</f>
        <v>AO3400A</v>
      </c>
      <c r="B24" s="22" t="str">
        <f aca="false">BOM!B31</f>
        <v>Q1</v>
      </c>
      <c r="C24" s="22" t="str">
        <f aca="false">BOM!F31</f>
        <v>SOT-23</v>
      </c>
      <c r="D24" s="22" t="str">
        <f aca="false">BOM!AF31</f>
        <v>C20917</v>
      </c>
    </row>
    <row r="25" customFormat="false" ht="15" hidden="false" customHeight="false" outlineLevel="0" collapsed="false">
      <c r="A25" s="22" t="str">
        <f aca="false">BOM!AC32</f>
        <v>5.1k</v>
      </c>
      <c r="B25" s="22" t="str">
        <f aca="false">BOM!B32</f>
        <v>R1,R2</v>
      </c>
      <c r="C25" s="22" t="str">
        <f aca="false">BOM!F32</f>
        <v>0805</v>
      </c>
      <c r="D25" s="22" t="str">
        <f aca="false">BOM!AF32</f>
        <v>C27834</v>
      </c>
    </row>
    <row r="26" customFormat="false" ht="15" hidden="false" customHeight="false" outlineLevel="0" collapsed="false">
      <c r="A26" s="22" t="str">
        <f aca="false">BOM!AC33</f>
        <v>470R</v>
      </c>
      <c r="B26" s="22" t="str">
        <f aca="false">BOM!B33</f>
        <v>R3,R4,R5,R9,R10</v>
      </c>
      <c r="C26" s="22" t="str">
        <f aca="false">BOM!F33</f>
        <v>0805</v>
      </c>
      <c r="D26" s="22" t="str">
        <f aca="false">BOM!AF33</f>
        <v>C17710</v>
      </c>
    </row>
    <row r="27" customFormat="false" ht="15" hidden="false" customHeight="false" outlineLevel="0" collapsed="false">
      <c r="A27" s="22" t="str">
        <f aca="false">BOM!AC34</f>
        <v>1k</v>
      </c>
      <c r="B27" s="22" t="str">
        <f aca="false">BOM!B34</f>
        <v>R6</v>
      </c>
      <c r="C27" s="22" t="str">
        <f aca="false">BOM!F34</f>
        <v>0805</v>
      </c>
      <c r="D27" s="22" t="str">
        <f aca="false">BOM!AF34</f>
        <v>C17513</v>
      </c>
    </row>
    <row r="28" customFormat="false" ht="15" hidden="false" customHeight="false" outlineLevel="0" collapsed="false">
      <c r="A28" s="22" t="str">
        <f aca="false">BOM!AC35</f>
        <v>10k</v>
      </c>
      <c r="B28" s="22" t="str">
        <f aca="false">BOM!B35</f>
        <v>R7,R8,R11,R12,R20</v>
      </c>
      <c r="C28" s="22" t="str">
        <f aca="false">BOM!F35</f>
        <v>0805</v>
      </c>
      <c r="D28" s="22" t="str">
        <f aca="false">BOM!AF35</f>
        <v>C17414</v>
      </c>
    </row>
    <row r="29" customFormat="false" ht="15" hidden="false" customHeight="false" outlineLevel="0" collapsed="false">
      <c r="A29" s="22" t="str">
        <f aca="false">BOM!AC36</f>
        <v>1.5k</v>
      </c>
      <c r="B29" s="22" t="str">
        <f aca="false">BOM!B36</f>
        <v>R15</v>
      </c>
      <c r="C29" s="22" t="str">
        <f aca="false">BOM!F36</f>
        <v>0805</v>
      </c>
      <c r="D29" s="22" t="str">
        <f aca="false">BOM!AF36</f>
        <v>C4310</v>
      </c>
    </row>
    <row r="30" customFormat="false" ht="15" hidden="false" customHeight="false" outlineLevel="0" collapsed="false">
      <c r="A30" s="22" t="str">
        <f aca="false">BOM!AC37</f>
        <v>4.7M</v>
      </c>
      <c r="B30" s="22" t="str">
        <f aca="false">BOM!B37</f>
        <v>R16,R18,R19</v>
      </c>
      <c r="C30" s="22" t="str">
        <f aca="false">BOM!F37</f>
        <v>0805</v>
      </c>
      <c r="D30" s="22" t="str">
        <f aca="false">BOM!AF37</f>
        <v>C17674</v>
      </c>
    </row>
    <row r="31" customFormat="false" ht="15" hidden="false" customHeight="false" outlineLevel="0" collapsed="false">
      <c r="A31" s="22" t="str">
        <f aca="false">BOM!AC38</f>
        <v>2.7M</v>
      </c>
      <c r="B31" s="22" t="str">
        <f aca="false">BOM!B38</f>
        <v>R17</v>
      </c>
      <c r="C31" s="22" t="str">
        <f aca="false">BOM!F38</f>
        <v>0805</v>
      </c>
      <c r="D31" s="22" t="str">
        <f aca="false">BOM!AF38</f>
        <v>C17531</v>
      </c>
    </row>
    <row r="32" customFormat="false" ht="15" hidden="false" customHeight="false" outlineLevel="0" collapsed="false">
      <c r="A32" s="22" t="str">
        <f aca="false">BOM!AC39</f>
        <v>0</v>
      </c>
      <c r="B32" s="22" t="str">
        <f aca="false">BOM!B39</f>
        <v>R21,R22</v>
      </c>
      <c r="C32" s="22" t="str">
        <f aca="false">BOM!F39</f>
        <v>0805</v>
      </c>
      <c r="D32" s="22" t="str">
        <f aca="false">BOM!AF39</f>
        <v>C17477</v>
      </c>
    </row>
    <row r="33" customFormat="false" ht="15" hidden="false" customHeight="false" outlineLevel="0" collapsed="false">
      <c r="A33" s="22" t="str">
        <f aca="false">BOM!AC40</f>
        <v>RST / BOOT0 / POWER</v>
      </c>
      <c r="B33" s="22" t="str">
        <f aca="false">BOM!B40</f>
        <v>SW1,SW2,SW3</v>
      </c>
      <c r="C33" s="22" t="str">
        <f aca="false">BOM!F40</f>
        <v>SW_Tactile_SPST_NO_Straight_CK_PTS636Sx25SMTRLFS</v>
      </c>
      <c r="D33" s="22" t="str">
        <f aca="false">BOM!AF40</f>
        <v>C2689642</v>
      </c>
    </row>
    <row r="34" customFormat="false" ht="15" hidden="false" customHeight="false" outlineLevel="0" collapsed="false">
      <c r="A34" s="22" t="str">
        <f aca="false">BOM!AC41</f>
        <v>10k NTC</v>
      </c>
      <c r="B34" s="22" t="str">
        <f aca="false">BOM!B41</f>
        <v>TH1</v>
      </c>
      <c r="C34" s="22" t="str">
        <f aca="false">BOM!F41</f>
        <v>R_Axial_DIN0204_L3.6mm_D1.6mm_P1.90mm_Vertical</v>
      </c>
      <c r="D34" s="22" t="str">
        <f aca="false">BOM!AF41</f>
        <v>C141588</v>
      </c>
    </row>
    <row r="35" customFormat="false" ht="15" hidden="false" customHeight="false" outlineLevel="0" collapsed="false">
      <c r="A35" s="22" t="str">
        <f aca="false">BOM!AC42</f>
        <v>STM32L432KCU6</v>
      </c>
      <c r="B35" s="22" t="str">
        <f aca="false">BOM!B42</f>
        <v>U1</v>
      </c>
      <c r="C35" s="22" t="str">
        <f aca="false">BOM!F42</f>
        <v>QFN-32-1EP_5x5mm_P0.5mm_EP3.45x3.45mm</v>
      </c>
      <c r="D35" s="22" t="str">
        <f aca="false">BOM!AF42</f>
        <v>C1337280</v>
      </c>
    </row>
    <row r="36" customFormat="false" ht="15" hidden="false" customHeight="false" outlineLevel="0" collapsed="false">
      <c r="A36" s="22" t="str">
        <f aca="false">BOM!AC43</f>
        <v>MCP73833</v>
      </c>
      <c r="B36" s="22" t="str">
        <f aca="false">BOM!B43</f>
        <v>U2</v>
      </c>
      <c r="C36" s="22" t="str">
        <f aca="false">BOM!F43</f>
        <v>MSOP-10_3x3mm_P0.5mm</v>
      </c>
      <c r="D36" s="22" t="str">
        <f aca="false">BOM!AF43</f>
        <v>C627668</v>
      </c>
    </row>
    <row r="37" customFormat="false" ht="15" hidden="false" customHeight="false" outlineLevel="0" collapsed="false">
      <c r="A37" s="22" t="str">
        <f aca="false">BOM!AC44</f>
        <v>TPS7A0233</v>
      </c>
      <c r="B37" s="22" t="str">
        <f aca="false">BOM!B44</f>
        <v>U3</v>
      </c>
      <c r="C37" s="22" t="str">
        <f aca="false">BOM!F44</f>
        <v>SOT23_DBV_TEX-L</v>
      </c>
      <c r="D37" s="22" t="str">
        <f aca="false">BOM!AF44</f>
        <v>C2887324</v>
      </c>
    </row>
    <row r="38" customFormat="false" ht="15" hidden="false" customHeight="false" outlineLevel="0" collapsed="false">
      <c r="A38" s="22" t="str">
        <f aca="false">BOM!AC45</f>
        <v>ST25R3916</v>
      </c>
      <c r="B38" s="22" t="str">
        <f aca="false">BOM!B45</f>
        <v>U5</v>
      </c>
      <c r="C38" s="22" t="str">
        <f aca="false">BOM!F45</f>
        <v>QFN50P500X500X100-33N</v>
      </c>
      <c r="D38" s="22" t="str">
        <f aca="false">BOM!AF45</f>
        <v>C2908147</v>
      </c>
    </row>
    <row r="39" customFormat="false" ht="15" hidden="false" customHeight="false" outlineLevel="0" collapsed="false">
      <c r="A39" s="22" t="str">
        <f aca="false">BOM!AC46</f>
        <v>USBLC6-2SC6</v>
      </c>
      <c r="B39" s="22" t="str">
        <f aca="false">BOM!B46</f>
        <v>U6</v>
      </c>
      <c r="C39" s="22" t="str">
        <f aca="false">BOM!F46</f>
        <v>SOT-23-6</v>
      </c>
      <c r="D39" s="22" t="str">
        <f aca="false">BOM!AF46</f>
        <v>C7519</v>
      </c>
    </row>
    <row r="40" customFormat="false" ht="15" hidden="false" customHeight="false" outlineLevel="0" collapsed="false">
      <c r="A40" s="22" t="str">
        <f aca="false">BOM!AC47</f>
        <v>27.12MHz</v>
      </c>
      <c r="B40" s="22" t="str">
        <f aca="false">BOM!B47</f>
        <v>Y1</v>
      </c>
      <c r="C40" s="22" t="str">
        <f aca="false">BOM!F47</f>
        <v>Crystal_SMD_3225-4Pin_3.2x2.5mm_HandSoldering</v>
      </c>
      <c r="D40" s="22" t="str">
        <f aca="false">BOM!AF47</f>
        <v>C29975</v>
      </c>
    </row>
    <row r="41" customFormat="false" ht="15" hidden="false" customHeight="false" outlineLevel="0" collapsed="false">
      <c r="A41" s="22" t="str">
        <f aca="false">BOM!AC48</f>
        <v>32.768k</v>
      </c>
      <c r="B41" s="22" t="str">
        <f aca="false">BOM!B48</f>
        <v>Y2</v>
      </c>
      <c r="C41" s="22" t="str">
        <f aca="false">BOM!F48</f>
        <v>Crystal_SMD_EuroQuartz_EQ161-2Pin_3.2x1.5mm</v>
      </c>
      <c r="D41" s="22" t="str">
        <f aca="false">BOM!AF48</f>
        <v>C95361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4" min="3" style="0" width="28"/>
    <col collapsed="false" customWidth="true" hidden="false" outlineLevel="0" max="5" min="5" style="0" width="45"/>
  </cols>
  <sheetData>
    <row r="1" customFormat="false" ht="15" hidden="false" customHeight="false" outlineLevel="0" collapsed="false">
      <c r="A1" s="21" t="s">
        <v>353</v>
      </c>
      <c r="B1" s="21" t="s">
        <v>354</v>
      </c>
      <c r="C1" s="21" t="s">
        <v>355</v>
      </c>
      <c r="D1" s="21" t="s">
        <v>27</v>
      </c>
      <c r="E1" s="21" t="s">
        <v>356</v>
      </c>
    </row>
    <row r="2" customFormat="false" ht="15" hidden="false" customHeight="false" outlineLevel="0" collapsed="false">
      <c r="A2" s="22" t="n">
        <f aca="false">BOM!AB8</f>
        <v>20</v>
      </c>
      <c r="B2" s="22" t="str">
        <f aca="false">BOM!AF8</f>
        <v>C49678</v>
      </c>
      <c r="C2" s="22" t="str">
        <f aca="false">BOM!AE8</f>
        <v>CC0805KRX7R9BB104</v>
      </c>
      <c r="D2" s="22" t="str">
        <f aca="false">BOM!AD8</f>
        <v>YAGEO</v>
      </c>
      <c r="E2" s="22" t="str">
        <f aca="false">BOM!B8</f>
        <v>C1,C3,C8,C11,C22,C23,C24,C25,C28,C29,C30,C34</v>
      </c>
    </row>
    <row r="3" customFormat="false" ht="15" hidden="false" customHeight="false" outlineLevel="0" collapsed="false">
      <c r="A3" s="22" t="n">
        <f aca="false">BOM!AB9</f>
        <v>20</v>
      </c>
      <c r="B3" s="22" t="str">
        <f aca="false">BOM!AF9</f>
        <v>C1779</v>
      </c>
      <c r="C3" s="22" t="str">
        <f aca="false">BOM!AE9</f>
        <v>CL21A475KAQNNNE</v>
      </c>
      <c r="D3" s="22" t="str">
        <f aca="false">BOM!AD9</f>
        <v>Samsung Electro-Mechanics</v>
      </c>
      <c r="E3" s="22" t="str">
        <f aca="false">BOM!B9</f>
        <v>C2,C35</v>
      </c>
    </row>
    <row r="4" customFormat="false" ht="15" hidden="false" customHeight="false" outlineLevel="0" collapsed="false">
      <c r="A4" s="22" t="n">
        <f aca="false">BOM!AB10</f>
        <v>50</v>
      </c>
      <c r="B4" s="22" t="str">
        <f aca="false">BOM!AF10</f>
        <v>C1710</v>
      </c>
      <c r="C4" s="22" t="str">
        <f aca="false">BOM!AE10</f>
        <v>CL21B103KBANNNC</v>
      </c>
      <c r="D4" s="22" t="str">
        <f aca="false">BOM!AD10</f>
        <v>Samsung Electro-Mechanics</v>
      </c>
      <c r="E4" s="22" t="str">
        <f aca="false">BOM!B10</f>
        <v>C4</v>
      </c>
    </row>
    <row r="5" customFormat="false" ht="15" hidden="false" customHeight="false" outlineLevel="0" collapsed="false">
      <c r="A5" s="22" t="n">
        <f aca="false">BOM!AB11</f>
        <v>10</v>
      </c>
      <c r="B5" s="22" t="str">
        <f aca="false">BOM!AF11</f>
        <v>C28323</v>
      </c>
      <c r="C5" s="22" t="str">
        <f aca="false">BOM!AE11</f>
        <v>CL21B105KBFNNNE</v>
      </c>
      <c r="D5" s="22" t="str">
        <f aca="false">BOM!AD11</f>
        <v>Samsung Electro-Mechanics</v>
      </c>
      <c r="E5" s="22" t="str">
        <f aca="false">BOM!B11</f>
        <v>C5,C33</v>
      </c>
    </row>
    <row r="6" customFormat="false" ht="15" hidden="false" customHeight="false" outlineLevel="0" collapsed="false">
      <c r="A6" s="22" t="n">
        <f aca="false">BOM!AB12</f>
        <v>50</v>
      </c>
      <c r="B6" s="22" t="str">
        <f aca="false">BOM!AF12</f>
        <v>C1840</v>
      </c>
      <c r="C6" s="22" t="str">
        <f aca="false">BOM!AE12</f>
        <v>0805CG8R2C500NT</v>
      </c>
      <c r="D6" s="22" t="str">
        <f aca="false">BOM!AD12</f>
        <v>FH</v>
      </c>
      <c r="E6" s="22" t="str">
        <f aca="false">BOM!B12</f>
        <v>C6,C7</v>
      </c>
    </row>
    <row r="7" customFormat="false" ht="15" hidden="false" customHeight="false" outlineLevel="0" collapsed="false">
      <c r="A7" s="22" t="n">
        <f aca="false">BOM!AB13</f>
        <v>50</v>
      </c>
      <c r="B7" s="22" t="str">
        <f aca="false">BOM!AF13</f>
        <v>C107110</v>
      </c>
      <c r="C7" s="22" t="str">
        <f aca="false">BOM!AE13</f>
        <v>CC0805JRNPO9BN150</v>
      </c>
      <c r="D7" s="22" t="str">
        <f aca="false">BOM!AD13</f>
        <v>YAGEO</v>
      </c>
      <c r="E7" s="22" t="str">
        <f aca="false">BOM!B13</f>
        <v>C9,C10</v>
      </c>
    </row>
    <row r="8" customFormat="false" ht="15" hidden="false" customHeight="false" outlineLevel="0" collapsed="false">
      <c r="A8" s="22" t="n">
        <f aca="false">BOM!AB14</f>
        <v>50</v>
      </c>
      <c r="B8" s="22" t="str">
        <f aca="false">BOM!AF14</f>
        <v>C107111</v>
      </c>
      <c r="C8" s="22" t="str">
        <f aca="false">BOM!AE14</f>
        <v>CC0805JRNPO9BN151</v>
      </c>
      <c r="D8" s="22" t="str">
        <f aca="false">BOM!AD14</f>
        <v>YAGEO</v>
      </c>
      <c r="E8" s="22" t="str">
        <f aca="false">BOM!B14</f>
        <v>C12,C13,C38,C39</v>
      </c>
    </row>
    <row r="9" customFormat="false" ht="15" hidden="false" customHeight="false" outlineLevel="0" collapsed="false">
      <c r="A9" s="22" t="n">
        <f aca="false">BOM!AB15</f>
        <v>100</v>
      </c>
      <c r="B9" s="22" t="str">
        <f aca="false">BOM!AF15</f>
        <v>C107107</v>
      </c>
      <c r="C9" s="22" t="str">
        <f aca="false">BOM!AE15</f>
        <v>CC0805JRNPO9BN100</v>
      </c>
      <c r="D9" s="22" t="str">
        <f aca="false">BOM!AD15</f>
        <v>YAGEO</v>
      </c>
      <c r="E9" s="22" t="str">
        <f aca="false">BOM!B15</f>
        <v>C15,C37</v>
      </c>
    </row>
    <row r="10" customFormat="false" ht="15" hidden="false" customHeight="false" outlineLevel="0" collapsed="false">
      <c r="A10" s="22" t="n">
        <f aca="false">BOM!AB16</f>
        <v>50</v>
      </c>
      <c r="B10" s="22" t="str">
        <f aca="false">BOM!AF16</f>
        <v>C107120</v>
      </c>
      <c r="C10" s="22" t="str">
        <f aca="false">BOM!AE16</f>
        <v>CC0805JRNPO9BN680</v>
      </c>
      <c r="D10" s="22" t="str">
        <f aca="false">BOM!AD16</f>
        <v>YAGEO</v>
      </c>
      <c r="E10" s="22" t="str">
        <f aca="false">BOM!B16</f>
        <v>C16,C17</v>
      </c>
    </row>
    <row r="11" customFormat="false" ht="15" hidden="false" customHeight="false" outlineLevel="0" collapsed="false">
      <c r="A11" s="22" t="n">
        <f aca="false">BOM!AB17</f>
        <v>50</v>
      </c>
      <c r="B11" s="22" t="str">
        <f aca="false">BOM!AF17</f>
        <v>C107106</v>
      </c>
      <c r="C11" s="22" t="str">
        <f aca="false">BOM!AE17</f>
        <v>CC0805JRNPO0BN271</v>
      </c>
      <c r="D11" s="22" t="str">
        <f aca="false">BOM!AD17</f>
        <v>YAGEO</v>
      </c>
      <c r="E11" s="22" t="str">
        <f aca="false">BOM!B17</f>
        <v>C18,C19</v>
      </c>
    </row>
    <row r="12" customFormat="false" ht="15" hidden="false" customHeight="false" outlineLevel="0" collapsed="false">
      <c r="A12" s="22" t="n">
        <f aca="false">BOM!AB18</f>
        <v>20</v>
      </c>
      <c r="B12" s="22" t="str">
        <f aca="false">BOM!AF18</f>
        <v>C15850</v>
      </c>
      <c r="C12" s="22" t="str">
        <f aca="false">BOM!AE18</f>
        <v>CL21A106KAYNNNE</v>
      </c>
      <c r="D12" s="22" t="str">
        <f aca="false">BOM!AD18</f>
        <v>Samsung Electro-Mechanics</v>
      </c>
      <c r="E12" s="22" t="str">
        <f aca="false">BOM!B18</f>
        <v>C20,C21,C36</v>
      </c>
    </row>
    <row r="13" customFormat="false" ht="15" hidden="false" customHeight="false" outlineLevel="0" collapsed="false">
      <c r="A13" s="22" t="n">
        <f aca="false">BOM!AB19</f>
        <v>10</v>
      </c>
      <c r="B13" s="22" t="str">
        <f aca="false">BOM!AF19</f>
        <v>C377773</v>
      </c>
      <c r="C13" s="22" t="str">
        <f aca="false">BOM!AE19</f>
        <v>CL21A225KBQNNNE</v>
      </c>
      <c r="D13" s="22" t="str">
        <f aca="false">BOM!AD19</f>
        <v>Samsung Electro-Mechanics</v>
      </c>
      <c r="E13" s="22" t="str">
        <f aca="false">BOM!B19</f>
        <v>C26,C27,C31,C32</v>
      </c>
    </row>
    <row r="14" customFormat="false" ht="15" hidden="false" customHeight="false" outlineLevel="0" collapsed="false">
      <c r="A14" s="22" t="n">
        <f aca="false">BOM!AB20</f>
        <v>50</v>
      </c>
      <c r="B14" s="22" t="str">
        <f aca="false">BOM!AF20</f>
        <v>C84256</v>
      </c>
      <c r="C14" s="22" t="str">
        <f aca="false">BOM!AE20</f>
        <v>NCD0805R1</v>
      </c>
      <c r="D14" s="22" t="str">
        <f aca="false">BOM!AD20</f>
        <v>NATIONSTAR</v>
      </c>
      <c r="E14" s="22" t="str">
        <f aca="false">BOM!B20</f>
        <v>D1,D5</v>
      </c>
    </row>
    <row r="15" customFormat="false" ht="15" hidden="false" customHeight="false" outlineLevel="0" collapsed="false">
      <c r="A15" s="22" t="n">
        <f aca="false">BOM!AB21</f>
        <v>20</v>
      </c>
      <c r="B15" s="22" t="str">
        <f aca="false">BOM!AF21</f>
        <v>C98221</v>
      </c>
      <c r="C15" s="22" t="str">
        <f aca="false">BOM!AE21</f>
        <v>LTST-C170KGKT</v>
      </c>
      <c r="D15" s="22" t="str">
        <f aca="false">BOM!AD21</f>
        <v>LITEON</v>
      </c>
      <c r="E15" s="22" t="str">
        <f aca="false">BOM!B21</f>
        <v>D2,D3,D6</v>
      </c>
    </row>
    <row r="16" customFormat="false" ht="15" hidden="false" customHeight="false" outlineLevel="0" collapsed="false">
      <c r="A16" s="22" t="n">
        <f aca="false">BOM!AB22</f>
        <v>50</v>
      </c>
      <c r="B16" s="22" t="str">
        <f aca="false">BOM!AF22</f>
        <v>C2480</v>
      </c>
      <c r="C16" s="22" t="str">
        <f aca="false">BOM!AE22</f>
        <v>SS14</v>
      </c>
      <c r="D16" s="22" t="str">
        <f aca="false">BOM!AD22</f>
        <v>MDD(Microdiode Semiconductor)</v>
      </c>
      <c r="E16" s="22" t="str">
        <f aca="false">BOM!B22</f>
        <v>D4</v>
      </c>
    </row>
    <row r="17" customFormat="false" ht="15" hidden="false" customHeight="false" outlineLevel="0" collapsed="false">
      <c r="A17" s="22" t="n">
        <f aca="false">BOM!AB23</f>
        <v>100</v>
      </c>
      <c r="B17" s="22" t="str">
        <f aca="false">BOM!AF23</f>
        <v>C76884</v>
      </c>
      <c r="C17" s="22" t="str">
        <f aca="false">BOM!AE23</f>
        <v>BLM15AG601SN1D</v>
      </c>
      <c r="D17" s="22" t="str">
        <f aca="false">BOM!AD23</f>
        <v>muRata</v>
      </c>
      <c r="E17" s="22" t="str">
        <f aca="false">BOM!B23</f>
        <v>FB1,FB2</v>
      </c>
    </row>
    <row r="18" customFormat="false" ht="15" hidden="false" customHeight="false" outlineLevel="0" collapsed="false">
      <c r="A18" s="22" t="n">
        <f aca="false">BOM!AB24</f>
        <v>1</v>
      </c>
      <c r="B18" s="22" t="str">
        <f aca="false">BOM!AF24</f>
        <v>C5143397</v>
      </c>
      <c r="C18" s="22" t="str">
        <f aca="false">BOM!AE24</f>
        <v>USB4110-GF-A</v>
      </c>
      <c r="D18" s="22" t="str">
        <f aca="false">BOM!AD24</f>
        <v>Global Connector Technology</v>
      </c>
      <c r="E18" s="22" t="str">
        <f aca="false">BOM!B24</f>
        <v>J1</v>
      </c>
    </row>
    <row r="19" customFormat="false" ht="15" hidden="false" customHeight="false" outlineLevel="0" collapsed="false">
      <c r="A19" s="22" t="n">
        <f aca="false">BOM!AB25</f>
        <v>10</v>
      </c>
      <c r="B19" s="22" t="str">
        <f aca="false">BOM!AF25</f>
        <v>C263753</v>
      </c>
      <c r="C19" s="22" t="str">
        <f aca="false">BOM!AE25</f>
        <v>B02B-XASK-1(LF)(SN)</v>
      </c>
      <c r="D19" s="22" t="str">
        <f aca="false">BOM!AD25</f>
        <v>JST</v>
      </c>
      <c r="E19" s="22" t="str">
        <f aca="false">BOM!B25</f>
        <v>J2</v>
      </c>
    </row>
    <row r="20" customFormat="false" ht="15" hidden="false" customHeight="false" outlineLevel="0" collapsed="false">
      <c r="A20" s="22" t="n">
        <f aca="false">BOM!AB26</f>
        <v>20</v>
      </c>
      <c r="B20" s="22" t="str">
        <f aca="false">BOM!AF26</f>
        <v>C2691448</v>
      </c>
      <c r="C20" s="22" t="str">
        <f aca="false">BOM!AE26</f>
        <v>PZ254V-11-04P</v>
      </c>
      <c r="D20" s="22" t="str">
        <f aca="false">BOM!AD26</f>
        <v>XFCN</v>
      </c>
      <c r="E20" s="22" t="str">
        <f aca="false">BOM!B26</f>
        <v>J3</v>
      </c>
    </row>
    <row r="21" customFormat="false" ht="15" hidden="false" customHeight="false" outlineLevel="0" collapsed="false">
      <c r="A21" s="22" t="n">
        <f aca="false">BOM!AB27</f>
        <v>50</v>
      </c>
      <c r="B21" s="22" t="str">
        <f aca="false">BOM!AF27</f>
        <v>C492401</v>
      </c>
      <c r="C21" s="22" t="str">
        <f aca="false">BOM!AE27</f>
        <v>PZ254V-11-02P</v>
      </c>
      <c r="D21" s="22" t="str">
        <f aca="false">BOM!AD27</f>
        <v>XFCN</v>
      </c>
      <c r="E21" s="22" t="str">
        <f aca="false">BOM!B27</f>
        <v>J4</v>
      </c>
    </row>
    <row r="22" customFormat="false" ht="15" hidden="false" customHeight="false" outlineLevel="0" collapsed="false">
      <c r="A22" s="22" t="n">
        <f aca="false">BOM!AB29</f>
        <v>5</v>
      </c>
      <c r="B22" s="22" t="str">
        <f aca="false">BOM!AF29</f>
        <v>C42431840</v>
      </c>
      <c r="C22" s="22" t="str">
        <f aca="false">BOM!AE29</f>
        <v>PM2.54-1X8PM-H85</v>
      </c>
      <c r="D22" s="22" t="str">
        <f aca="false">BOM!AD29</f>
        <v>JXTCONN</v>
      </c>
      <c r="E22" s="22" t="str">
        <f aca="false">BOM!B29</f>
        <v>J7</v>
      </c>
    </row>
    <row r="23" customFormat="false" ht="15" hidden="false" customHeight="false" outlineLevel="0" collapsed="false">
      <c r="A23" s="22" t="n">
        <f aca="false">BOM!AB30</f>
        <v>5</v>
      </c>
      <c r="B23" s="22" t="str">
        <f aca="false">BOM!AF30</f>
        <v>C337959</v>
      </c>
      <c r="C23" s="22" t="str">
        <f aca="false">BOM!AE30</f>
        <v>LQW2BASR47J00L</v>
      </c>
      <c r="D23" s="22" t="str">
        <f aca="false">BOM!AD30</f>
        <v>muRata</v>
      </c>
      <c r="E23" s="22" t="str">
        <f aca="false">BOM!B30</f>
        <v>L3,L4</v>
      </c>
    </row>
    <row r="24" customFormat="false" ht="15" hidden="false" customHeight="false" outlineLevel="0" collapsed="false">
      <c r="A24" s="22" t="n">
        <f aca="false">BOM!AB31</f>
        <v>5</v>
      </c>
      <c r="B24" s="22" t="str">
        <f aca="false">BOM!AF31</f>
        <v>C20917</v>
      </c>
      <c r="C24" s="22" t="str">
        <f aca="false">BOM!AE31</f>
        <v>AO3400A</v>
      </c>
      <c r="D24" s="22" t="str">
        <f aca="false">BOM!AD31</f>
        <v>AOS</v>
      </c>
      <c r="E24" s="22" t="str">
        <f aca="false">BOM!B31</f>
        <v>Q1</v>
      </c>
    </row>
    <row r="25" customFormat="false" ht="15" hidden="false" customHeight="false" outlineLevel="0" collapsed="false">
      <c r="A25" s="22" t="n">
        <f aca="false">BOM!AB32</f>
        <v>100</v>
      </c>
      <c r="B25" s="22" t="str">
        <f aca="false">BOM!AF32</f>
        <v>C27834</v>
      </c>
      <c r="C25" s="22" t="str">
        <f aca="false">BOM!AE32</f>
        <v>0805W8F5101T5E</v>
      </c>
      <c r="D25" s="22" t="str">
        <f aca="false">BOM!AD32</f>
        <v>UNI-ROYAL</v>
      </c>
      <c r="E25" s="22" t="str">
        <f aca="false">BOM!B32</f>
        <v>R1,R2</v>
      </c>
    </row>
    <row r="26" customFormat="false" ht="15" hidden="false" customHeight="false" outlineLevel="0" collapsed="false">
      <c r="A26" s="22" t="n">
        <f aca="false">BOM!AB33</f>
        <v>100</v>
      </c>
      <c r="B26" s="22" t="str">
        <f aca="false">BOM!AF33</f>
        <v>C17710</v>
      </c>
      <c r="C26" s="22" t="str">
        <f aca="false">BOM!AE33</f>
        <v>0805W8F4700T5E</v>
      </c>
      <c r="D26" s="22" t="str">
        <f aca="false">BOM!AD33</f>
        <v>UNI-ROYAL</v>
      </c>
      <c r="E26" s="22" t="str">
        <f aca="false">BOM!B33</f>
        <v>R3,R4,R5,R9,R10</v>
      </c>
    </row>
    <row r="27" customFormat="false" ht="15" hidden="false" customHeight="false" outlineLevel="0" collapsed="false">
      <c r="A27" s="22" t="n">
        <f aca="false">BOM!AB34</f>
        <v>100</v>
      </c>
      <c r="B27" s="22" t="str">
        <f aca="false">BOM!AF34</f>
        <v>C17513</v>
      </c>
      <c r="C27" s="22" t="str">
        <f aca="false">BOM!AE34</f>
        <v>0805W8F1001T5E</v>
      </c>
      <c r="D27" s="22" t="str">
        <f aca="false">BOM!AD34</f>
        <v>UNI-ROYAL</v>
      </c>
      <c r="E27" s="22" t="str">
        <f aca="false">BOM!B34</f>
        <v>R6</v>
      </c>
    </row>
    <row r="28" customFormat="false" ht="15" hidden="false" customHeight="false" outlineLevel="0" collapsed="false">
      <c r="A28" s="22" t="n">
        <f aca="false">BOM!AB35</f>
        <v>100</v>
      </c>
      <c r="B28" s="22" t="str">
        <f aca="false">BOM!AF35</f>
        <v>C17414</v>
      </c>
      <c r="C28" s="22" t="str">
        <f aca="false">BOM!AE35</f>
        <v>0805W8F1002T5E</v>
      </c>
      <c r="D28" s="22" t="str">
        <f aca="false">BOM!AD35</f>
        <v>UNI-ROYAL</v>
      </c>
      <c r="E28" s="22" t="str">
        <f aca="false">BOM!B35</f>
        <v>R7,R8,R11,R12,R20</v>
      </c>
    </row>
    <row r="29" customFormat="false" ht="15" hidden="false" customHeight="false" outlineLevel="0" collapsed="false">
      <c r="A29" s="22" t="n">
        <f aca="false">BOM!AB36</f>
        <v>100</v>
      </c>
      <c r="B29" s="22" t="str">
        <f aca="false">BOM!AF36</f>
        <v>C4310</v>
      </c>
      <c r="C29" s="22" t="str">
        <f aca="false">BOM!AE36</f>
        <v>0805W8F1501T5E</v>
      </c>
      <c r="D29" s="22" t="str">
        <f aca="false">BOM!AD36</f>
        <v>UNI-ROYAL</v>
      </c>
      <c r="E29" s="22" t="str">
        <f aca="false">BOM!B36</f>
        <v>R15</v>
      </c>
    </row>
    <row r="30" customFormat="false" ht="15" hidden="false" customHeight="false" outlineLevel="0" collapsed="false">
      <c r="A30" s="22" t="n">
        <f aca="false">BOM!AB37</f>
        <v>100</v>
      </c>
      <c r="B30" s="22" t="str">
        <f aca="false">BOM!AF37</f>
        <v>C17674</v>
      </c>
      <c r="C30" s="22" t="str">
        <f aca="false">BOM!AE37</f>
        <v>0805W8F4704T5E</v>
      </c>
      <c r="D30" s="22" t="str">
        <f aca="false">BOM!AD37</f>
        <v>UNI-ROYAL</v>
      </c>
      <c r="E30" s="22" t="str">
        <f aca="false">BOM!B37</f>
        <v>R16,R18,R19</v>
      </c>
    </row>
    <row r="31" customFormat="false" ht="15" hidden="false" customHeight="false" outlineLevel="0" collapsed="false">
      <c r="A31" s="22" t="n">
        <f aca="false">BOM!AB38</f>
        <v>100</v>
      </c>
      <c r="B31" s="22" t="str">
        <f aca="false">BOM!AF38</f>
        <v>C17531</v>
      </c>
      <c r="C31" s="22" t="str">
        <f aca="false">BOM!AE38</f>
        <v>0805W8F2704T5E</v>
      </c>
      <c r="D31" s="22" t="str">
        <f aca="false">BOM!AD38</f>
        <v>UNI-ROYAL</v>
      </c>
      <c r="E31" s="22" t="str">
        <f aca="false">BOM!B38</f>
        <v>R17</v>
      </c>
    </row>
    <row r="32" customFormat="false" ht="15" hidden="false" customHeight="false" outlineLevel="0" collapsed="false">
      <c r="A32" s="22" t="n">
        <f aca="false">BOM!AB39</f>
        <v>100</v>
      </c>
      <c r="B32" s="22" t="str">
        <f aca="false">BOM!AF39</f>
        <v>C17477</v>
      </c>
      <c r="C32" s="22" t="str">
        <f aca="false">BOM!AE39</f>
        <v>0805W8F0000T5E</v>
      </c>
      <c r="D32" s="22" t="str">
        <f aca="false">BOM!AD39</f>
        <v>UNI-ROYAL</v>
      </c>
      <c r="E32" s="22" t="str">
        <f aca="false">BOM!B39</f>
        <v>R21,R22</v>
      </c>
    </row>
    <row r="33" customFormat="false" ht="15" hidden="false" customHeight="false" outlineLevel="0" collapsed="false">
      <c r="A33" s="22" t="n">
        <f aca="false">BOM!AB40</f>
        <v>5</v>
      </c>
      <c r="B33" s="22" t="str">
        <f aca="false">BOM!AF40</f>
        <v>C2689642</v>
      </c>
      <c r="C33" s="22" t="str">
        <f aca="false">BOM!AE40</f>
        <v>PTS636SK25SMTRLFS</v>
      </c>
      <c r="D33" s="22" t="str">
        <f aca="false">BOM!AD40</f>
        <v>C&amp;K</v>
      </c>
      <c r="E33" s="22" t="str">
        <f aca="false">BOM!B40</f>
        <v>SW1,SW2,SW3</v>
      </c>
    </row>
    <row r="34" customFormat="false" ht="15" hidden="false" customHeight="false" outlineLevel="0" collapsed="false">
      <c r="A34" s="22" t="n">
        <f aca="false">BOM!AB41</f>
        <v>1</v>
      </c>
      <c r="B34" s="22" t="str">
        <f aca="false">BOM!AF41</f>
        <v>C141588</v>
      </c>
      <c r="C34" s="22" t="str">
        <f aca="false">BOM!AE41</f>
        <v>NTCLE100E3103JB0</v>
      </c>
      <c r="D34" s="22" t="str">
        <f aca="false">BOM!AD41</f>
        <v>VISHAY</v>
      </c>
      <c r="E34" s="22" t="str">
        <f aca="false">BOM!B41</f>
        <v>TH1</v>
      </c>
    </row>
    <row r="35" customFormat="false" ht="15" hidden="false" customHeight="false" outlineLevel="0" collapsed="false">
      <c r="A35" s="22" t="n">
        <f aca="false">BOM!AB42</f>
        <v>1</v>
      </c>
      <c r="B35" s="22" t="str">
        <f aca="false">BOM!AF42</f>
        <v>C1337280</v>
      </c>
      <c r="C35" s="22" t="str">
        <f aca="false">BOM!AE42</f>
        <v>STM32L432KCU6</v>
      </c>
      <c r="D35" s="22" t="str">
        <f aca="false">BOM!AD42</f>
        <v>ST</v>
      </c>
      <c r="E35" s="22" t="str">
        <f aca="false">BOM!B42</f>
        <v>U1</v>
      </c>
    </row>
    <row r="36" customFormat="false" ht="15" hidden="false" customHeight="false" outlineLevel="0" collapsed="false">
      <c r="A36" s="22" t="n">
        <f aca="false">BOM!AB43</f>
        <v>1</v>
      </c>
      <c r="B36" s="22" t="str">
        <f aca="false">BOM!AF43</f>
        <v>C627668</v>
      </c>
      <c r="C36" s="22" t="str">
        <f aca="false">BOM!AE43</f>
        <v>MCP73833T-AMI/UN</v>
      </c>
      <c r="D36" s="22" t="str">
        <f aca="false">BOM!AD43</f>
        <v>MICROCHIP</v>
      </c>
      <c r="E36" s="22" t="str">
        <f aca="false">BOM!B43</f>
        <v>U2</v>
      </c>
    </row>
    <row r="37" customFormat="false" ht="15" hidden="false" customHeight="false" outlineLevel="0" collapsed="false">
      <c r="A37" s="22" t="n">
        <f aca="false">BOM!AB44</f>
        <v>1</v>
      </c>
      <c r="B37" s="22" t="str">
        <f aca="false">BOM!AF44</f>
        <v>C2887324</v>
      </c>
      <c r="C37" s="22" t="str">
        <f aca="false">BOM!AE44</f>
        <v>TPS7A0233PDBVR</v>
      </c>
      <c r="D37" s="22" t="str">
        <f aca="false">BOM!AD44</f>
        <v>TI</v>
      </c>
      <c r="E37" s="22" t="str">
        <f aca="false">BOM!B44</f>
        <v>U3</v>
      </c>
    </row>
    <row r="38" customFormat="false" ht="15" hidden="false" customHeight="false" outlineLevel="0" collapsed="false">
      <c r="A38" s="22" t="n">
        <f aca="false">BOM!AB45</f>
        <v>1</v>
      </c>
      <c r="B38" s="22" t="str">
        <f aca="false">BOM!AF45</f>
        <v>C2908147</v>
      </c>
      <c r="C38" s="22" t="str">
        <f aca="false">BOM!AE45</f>
        <v>ST25R3916-AQWT</v>
      </c>
      <c r="D38" s="22" t="str">
        <f aca="false">BOM!AD45</f>
        <v>ST</v>
      </c>
      <c r="E38" s="22" t="str">
        <f aca="false">BOM!B45</f>
        <v>U5</v>
      </c>
    </row>
    <row r="39" customFormat="false" ht="15" hidden="false" customHeight="false" outlineLevel="0" collapsed="false">
      <c r="A39" s="22" t="n">
        <f aca="false">BOM!AB46</f>
        <v>5</v>
      </c>
      <c r="B39" s="22" t="str">
        <f aca="false">BOM!AF46</f>
        <v>C7519</v>
      </c>
      <c r="C39" s="22" t="str">
        <f aca="false">BOM!AE46</f>
        <v>USBLC6-2SC6</v>
      </c>
      <c r="D39" s="22" t="str">
        <f aca="false">BOM!AD46</f>
        <v>ST</v>
      </c>
      <c r="E39" s="22" t="str">
        <f aca="false">BOM!B46</f>
        <v>U6</v>
      </c>
    </row>
    <row r="40" customFormat="false" ht="15" hidden="false" customHeight="false" outlineLevel="0" collapsed="false">
      <c r="A40" s="22" t="n">
        <f aca="false">BOM!AB47</f>
        <v>5</v>
      </c>
      <c r="B40" s="22" t="str">
        <f aca="false">BOM!AF47</f>
        <v>C29975</v>
      </c>
      <c r="C40" s="22" t="str">
        <f aca="false">BOM!AE47</f>
        <v>X32252712MMB4SI</v>
      </c>
      <c r="D40" s="22" t="str">
        <f aca="false">BOM!AD47</f>
        <v>YXC Crystal Oscillators</v>
      </c>
      <c r="E40" s="22" t="str">
        <f aca="false">BOM!B47</f>
        <v>Y1</v>
      </c>
    </row>
    <row r="41" customFormat="false" ht="15" hidden="false" customHeight="false" outlineLevel="0" collapsed="false">
      <c r="A41" s="22" t="n">
        <f aca="false">BOM!AB48</f>
        <v>5</v>
      </c>
      <c r="B41" s="22" t="str">
        <f aca="false">BOM!AF48</f>
        <v>C95361</v>
      </c>
      <c r="C41" s="22" t="str">
        <f aca="false">BOM!AE48</f>
        <v>Q13FC13500049</v>
      </c>
      <c r="D41" s="22" t="str">
        <f aca="false">BOM!AD48</f>
        <v>EPSON</v>
      </c>
      <c r="E41" s="22" t="str">
        <f aca="false">BOM!B48</f>
        <v>Y2</v>
      </c>
    </row>
    <row r="42" customFormat="false" ht="15" hidden="false" customHeight="false" outlineLevel="0" collapsed="false">
      <c r="A42" s="22" t="n">
        <f aca="false">BOM!AB50</f>
        <v>0</v>
      </c>
      <c r="B42" s="22" t="str">
        <f aca="false">BOM!AF50</f>
        <v>C157892</v>
      </c>
      <c r="C42" s="22" t="str">
        <f aca="false">BOM!AE50</f>
        <v>XAP-02V-1</v>
      </c>
      <c r="D42" s="22" t="str">
        <f aca="false">BOM!AD50</f>
        <v>JST</v>
      </c>
      <c r="E42" s="22" t="str">
        <f aca="false">BOM!B50</f>
        <v>(cable) J2 mate</v>
      </c>
    </row>
    <row r="43" customFormat="false" ht="15" hidden="false" customHeight="false" outlineLevel="0" collapsed="false">
      <c r="A43" s="22" t="n">
        <f aca="false">BOM!AB51</f>
        <v>0</v>
      </c>
      <c r="B43" s="22" t="str">
        <f aca="false">BOM!AF51</f>
        <v>C246759</v>
      </c>
      <c r="C43" s="22" t="str">
        <f aca="false">BOM!AE51</f>
        <v>SXA-001T-P0.6</v>
      </c>
      <c r="D43" s="22" t="str">
        <f aca="false">BOM!AD51</f>
        <v>JST</v>
      </c>
      <c r="E43" s="22" t="str">
        <f aca="false">BOM!B51</f>
        <v>(cable) J2 mate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LibreOffice_project/6d2b0d33fb0f5da53a12f98bed3e9973e56ff1f0</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2026-09-25T20:03:31Z</dcterms:created>
  <dc:creator>openpyxl</dc:creator>
  <dc:description/>
  <dc:language>en-US</dc:language>
  <cp:lastModifiedBy/>
  <dcterms:modified xsi:type="dcterms:W3CDTF">2026-09-25T20:03:31Z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